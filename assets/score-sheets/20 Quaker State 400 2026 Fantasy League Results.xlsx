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chartsheets/sheet3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ucks-my.sharepoint.com/personal/michael_gehman_houcks_com/Documents/Desktop/NASCAR League/"/>
    </mc:Choice>
  </mc:AlternateContent>
  <xr:revisionPtr revIDLastSave="82" documentId="8_{CAFF266D-6030-4ED5-B5CE-95E1A19659D0}" xr6:coauthVersionLast="47" xr6:coauthVersionMax="47" xr10:uidLastSave="{6D13226C-365F-4662-BB65-F908BBF8396F}"/>
  <bookViews>
    <workbookView xWindow="2660" yWindow="0" windowWidth="12070" windowHeight="14410" xr2:uid="{00000000-000D-0000-FFFF-FFFF00000000}"/>
  </bookViews>
  <sheets>
    <sheet name="Drivers" sheetId="21" r:id="rId1"/>
    <sheet name="Red Fantasy Standings" sheetId="4" r:id="rId2"/>
    <sheet name="Leader Board Red" sheetId="20" r:id="rId3"/>
    <sheet name="White Fantasy Standings" sheetId="30" r:id="rId4"/>
    <sheet name="Leader Board White" sheetId="31" r:id="rId5"/>
    <sheet name="Blue Fantasy Standings" sheetId="32" r:id="rId6"/>
    <sheet name="Leader Board Blue" sheetId="33" r:id="rId7"/>
    <sheet name="Sheet1" sheetId="3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2" i="4" l="1"/>
  <c r="AK22" i="4"/>
  <c r="AJ22" i="4"/>
  <c r="AI22" i="4"/>
  <c r="AI23" i="4" s="1"/>
  <c r="AH22" i="4"/>
  <c r="AH23" i="4" s="1"/>
  <c r="AG22" i="4"/>
  <c r="AF22" i="4"/>
  <c r="AE22" i="4"/>
  <c r="AD22" i="4"/>
  <c r="AC22" i="4"/>
  <c r="AB22" i="4"/>
  <c r="AA22" i="4"/>
  <c r="Z22" i="4"/>
  <c r="Y22" i="4"/>
  <c r="X22" i="4"/>
  <c r="X23" i="4" s="1"/>
  <c r="W22" i="4"/>
  <c r="V22" i="4"/>
  <c r="U22" i="4"/>
  <c r="T22" i="4"/>
  <c r="AL25" i="30"/>
  <c r="AK25" i="30"/>
  <c r="AJ25" i="30"/>
  <c r="AI25" i="30"/>
  <c r="AH25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AL25" i="32"/>
  <c r="AK25" i="32"/>
  <c r="AJ25" i="32"/>
  <c r="AI25" i="32"/>
  <c r="AH25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V11" i="4" s="1"/>
  <c r="U10" i="4"/>
  <c r="T10" i="4"/>
  <c r="S10" i="4"/>
  <c r="R10" i="4"/>
  <c r="Q10" i="4"/>
  <c r="P10" i="4"/>
  <c r="O10" i="4"/>
  <c r="AL16" i="4"/>
  <c r="AK16" i="4"/>
  <c r="AJ16" i="4"/>
  <c r="AJ17" i="4" s="1"/>
  <c r="AI16" i="4"/>
  <c r="AH16" i="4"/>
  <c r="AG16" i="4"/>
  <c r="AF16" i="4"/>
  <c r="AE16" i="4"/>
  <c r="AD16" i="4"/>
  <c r="AC16" i="4"/>
  <c r="AB16" i="4"/>
  <c r="AA16" i="4"/>
  <c r="AA17" i="4" s="1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AL22" i="32"/>
  <c r="AK22" i="32"/>
  <c r="AJ22" i="32"/>
  <c r="AI22" i="32"/>
  <c r="AH22" i="32"/>
  <c r="AG22" i="32"/>
  <c r="AF22" i="32"/>
  <c r="AE22" i="32"/>
  <c r="AE23" i="32" s="1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S22" i="4"/>
  <c r="R22" i="4"/>
  <c r="Q22" i="4"/>
  <c r="P22" i="4"/>
  <c r="O22" i="4"/>
  <c r="N22" i="4"/>
  <c r="M22" i="4"/>
  <c r="L22" i="4"/>
  <c r="K22" i="4"/>
  <c r="J22" i="32"/>
  <c r="J23" i="32" s="1"/>
  <c r="AK26" i="30"/>
  <c r="Y26" i="30"/>
  <c r="W26" i="30"/>
  <c r="R25" i="30"/>
  <c r="Q25" i="30"/>
  <c r="P25" i="30"/>
  <c r="O25" i="30"/>
  <c r="N25" i="30"/>
  <c r="M25" i="30"/>
  <c r="M26" i="30" s="1"/>
  <c r="L25" i="30"/>
  <c r="L26" i="30" s="1"/>
  <c r="K25" i="30"/>
  <c r="J25" i="30"/>
  <c r="I25" i="30"/>
  <c r="H25" i="30"/>
  <c r="AL16" i="30"/>
  <c r="AL17" i="30" s="1"/>
  <c r="AK16" i="30"/>
  <c r="AJ16" i="30"/>
  <c r="AI16" i="30"/>
  <c r="AH16" i="30"/>
  <c r="AG16" i="30"/>
  <c r="AF16" i="30"/>
  <c r="AE16" i="30"/>
  <c r="AD16" i="30"/>
  <c r="AC16" i="30"/>
  <c r="AC17" i="30" s="1"/>
  <c r="AB16" i="30"/>
  <c r="AA16" i="30"/>
  <c r="Z16" i="30"/>
  <c r="Y16" i="30"/>
  <c r="X16" i="30"/>
  <c r="X17" i="30" s="1"/>
  <c r="W16" i="30"/>
  <c r="V16" i="30"/>
  <c r="V17" i="30" s="1"/>
  <c r="U16" i="30"/>
  <c r="T16" i="30"/>
  <c r="T17" i="30" s="1"/>
  <c r="S16" i="30"/>
  <c r="R16" i="30"/>
  <c r="Q16" i="30"/>
  <c r="P16" i="30"/>
  <c r="O16" i="30"/>
  <c r="N16" i="30"/>
  <c r="M16" i="30"/>
  <c r="L16" i="30"/>
  <c r="K16" i="30"/>
  <c r="J16" i="30"/>
  <c r="I16" i="30"/>
  <c r="H16" i="30"/>
  <c r="I22" i="32"/>
  <c r="I23" i="32" s="1"/>
  <c r="H22" i="32"/>
  <c r="G22" i="32"/>
  <c r="G16" i="30"/>
  <c r="P25" i="32"/>
  <c r="O25" i="32"/>
  <c r="N25" i="32"/>
  <c r="M25" i="32"/>
  <c r="L25" i="32"/>
  <c r="K25" i="32"/>
  <c r="J25" i="32"/>
  <c r="I25" i="32"/>
  <c r="H25" i="32"/>
  <c r="G25" i="32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J22" i="4"/>
  <c r="I22" i="4"/>
  <c r="H22" i="4"/>
  <c r="G22" i="4"/>
  <c r="F22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J26" i="4" s="1"/>
  <c r="I25" i="4"/>
  <c r="H25" i="4"/>
  <c r="G25" i="4"/>
  <c r="F25" i="4"/>
  <c r="AH26" i="32"/>
  <c r="F25" i="32"/>
  <c r="E25" i="32"/>
  <c r="D25" i="32"/>
  <c r="AL24" i="32"/>
  <c r="AL26" i="32" s="1"/>
  <c r="AK24" i="32"/>
  <c r="AJ24" i="32"/>
  <c r="AI24" i="32"/>
  <c r="AI26" i="32" s="1"/>
  <c r="AH24" i="32"/>
  <c r="AG24" i="32"/>
  <c r="AG26" i="32" s="1"/>
  <c r="AF24" i="32"/>
  <c r="AF26" i="32" s="1"/>
  <c r="AE24" i="32"/>
  <c r="AE26" i="32" s="1"/>
  <c r="AD24" i="32"/>
  <c r="AD26" i="32" s="1"/>
  <c r="AC24" i="32"/>
  <c r="AC26" i="32" s="1"/>
  <c r="AB24" i="32"/>
  <c r="AB26" i="32" s="1"/>
  <c r="AA24" i="32"/>
  <c r="AA26" i="32" s="1"/>
  <c r="Z24" i="32"/>
  <c r="Z26" i="32" s="1"/>
  <c r="Y24" i="32"/>
  <c r="X24" i="32"/>
  <c r="W24" i="32"/>
  <c r="W26" i="32" s="1"/>
  <c r="V24" i="32"/>
  <c r="U24" i="32"/>
  <c r="T24" i="32"/>
  <c r="S24" i="32"/>
  <c r="S26" i="32" s="1"/>
  <c r="R24" i="32"/>
  <c r="R26" i="32" s="1"/>
  <c r="Q24" i="32"/>
  <c r="Q26" i="32" s="1"/>
  <c r="P24" i="32"/>
  <c r="P26" i="32" s="1"/>
  <c r="O24" i="32"/>
  <c r="O26" i="32" s="1"/>
  <c r="N24" i="32"/>
  <c r="N26" i="32" s="1"/>
  <c r="M24" i="32"/>
  <c r="L24" i="32"/>
  <c r="K24" i="32"/>
  <c r="J24" i="32"/>
  <c r="I24" i="32"/>
  <c r="H24" i="32"/>
  <c r="H26" i="32" s="1"/>
  <c r="G24" i="32"/>
  <c r="F24" i="32"/>
  <c r="E24" i="32"/>
  <c r="D24" i="32"/>
  <c r="AK23" i="32"/>
  <c r="F22" i="32"/>
  <c r="E22" i="32"/>
  <c r="D22" i="32"/>
  <c r="AL21" i="32"/>
  <c r="AK21" i="32"/>
  <c r="AJ21" i="32"/>
  <c r="AI21" i="32"/>
  <c r="AI23" i="32" s="1"/>
  <c r="AH21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N23" i="32" s="1"/>
  <c r="M21" i="32"/>
  <c r="M23" i="32" s="1"/>
  <c r="L21" i="32"/>
  <c r="L23" i="32" s="1"/>
  <c r="K21" i="32"/>
  <c r="K23" i="32" s="1"/>
  <c r="J21" i="32"/>
  <c r="I21" i="32"/>
  <c r="H21" i="32"/>
  <c r="G21" i="32"/>
  <c r="F21" i="32"/>
  <c r="E21" i="32"/>
  <c r="D21" i="32"/>
  <c r="AL19" i="32"/>
  <c r="AK19" i="32"/>
  <c r="AJ19" i="32"/>
  <c r="AI19" i="32"/>
  <c r="AH19" i="32"/>
  <c r="AG19" i="32"/>
  <c r="AF19" i="32"/>
  <c r="AE19" i="32"/>
  <c r="AD19" i="32"/>
  <c r="AC19" i="32"/>
  <c r="AB19" i="32"/>
  <c r="AA19" i="32"/>
  <c r="Z19" i="32"/>
  <c r="Y19" i="32"/>
  <c r="X19" i="32"/>
  <c r="X20" i="32" s="1"/>
  <c r="W19" i="32"/>
  <c r="V19" i="32"/>
  <c r="U19" i="32"/>
  <c r="U20" i="32" s="1"/>
  <c r="T19" i="32"/>
  <c r="S19" i="32"/>
  <c r="R19" i="32"/>
  <c r="Q19" i="32"/>
  <c r="P19" i="32"/>
  <c r="O19" i="32"/>
  <c r="N19" i="32"/>
  <c r="M19" i="32"/>
  <c r="L19" i="32"/>
  <c r="K19" i="32"/>
  <c r="J19" i="32"/>
  <c r="J20" i="32" s="1"/>
  <c r="I19" i="32"/>
  <c r="H19" i="32"/>
  <c r="G19" i="32"/>
  <c r="F19" i="32"/>
  <c r="F20" i="32" s="1"/>
  <c r="E19" i="32"/>
  <c r="D19" i="32"/>
  <c r="AL18" i="32"/>
  <c r="AK18" i="32"/>
  <c r="AJ18" i="32"/>
  <c r="AI18" i="32"/>
  <c r="AH18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O20" i="32" s="1"/>
  <c r="N18" i="32"/>
  <c r="N20" i="32" s="1"/>
  <c r="M18" i="32"/>
  <c r="L18" i="32"/>
  <c r="K18" i="32"/>
  <c r="J18" i="32"/>
  <c r="I18" i="32"/>
  <c r="I20" i="32" s="1"/>
  <c r="H18" i="32"/>
  <c r="H20" i="32" s="1"/>
  <c r="G18" i="32"/>
  <c r="F18" i="32"/>
  <c r="E18" i="32"/>
  <c r="D18" i="32"/>
  <c r="AL16" i="32"/>
  <c r="AK16" i="32"/>
  <c r="AJ16" i="32"/>
  <c r="AI16" i="32"/>
  <c r="AH16" i="32"/>
  <c r="AG16" i="32"/>
  <c r="AF16" i="32"/>
  <c r="AE16" i="32"/>
  <c r="AD16" i="32"/>
  <c r="AD17" i="32" s="1"/>
  <c r="AC16" i="32"/>
  <c r="AB16" i="32"/>
  <c r="AA16" i="32"/>
  <c r="Z16" i="32"/>
  <c r="Y16" i="32"/>
  <c r="X16" i="32"/>
  <c r="W16" i="32"/>
  <c r="V16" i="32"/>
  <c r="V17" i="32" s="1"/>
  <c r="U16" i="32"/>
  <c r="T16" i="32"/>
  <c r="S16" i="32"/>
  <c r="R16" i="32"/>
  <c r="R17" i="32" s="1"/>
  <c r="Q16" i="32"/>
  <c r="P16" i="32"/>
  <c r="O16" i="32"/>
  <c r="O17" i="32" s="1"/>
  <c r="N16" i="32"/>
  <c r="M16" i="32"/>
  <c r="L16" i="32"/>
  <c r="K16" i="32"/>
  <c r="K17" i="32" s="1"/>
  <c r="J16" i="32"/>
  <c r="I16" i="32"/>
  <c r="H16" i="32"/>
  <c r="G16" i="32"/>
  <c r="G17" i="32" s="1"/>
  <c r="F16" i="32"/>
  <c r="E16" i="32"/>
  <c r="D16" i="32"/>
  <c r="AL15" i="32"/>
  <c r="AK15" i="32"/>
  <c r="AJ15" i="32"/>
  <c r="AI15" i="32"/>
  <c r="AH15" i="32"/>
  <c r="AG15" i="32"/>
  <c r="AF15" i="32"/>
  <c r="AE15" i="32"/>
  <c r="AD15" i="32"/>
  <c r="AC15" i="32"/>
  <c r="AC17" i="32" s="1"/>
  <c r="AB15" i="32"/>
  <c r="AA15" i="32"/>
  <c r="Z15" i="32"/>
  <c r="Y15" i="32"/>
  <c r="X15" i="32"/>
  <c r="W15" i="32"/>
  <c r="V15" i="32"/>
  <c r="U15" i="32"/>
  <c r="T15" i="32"/>
  <c r="T17" i="32" s="1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AL13" i="32"/>
  <c r="AK13" i="32"/>
  <c r="AJ13" i="32"/>
  <c r="AI13" i="32"/>
  <c r="AH13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V14" i="32" s="1"/>
  <c r="U13" i="32"/>
  <c r="T13" i="32"/>
  <c r="S13" i="32"/>
  <c r="R13" i="32"/>
  <c r="Q13" i="32"/>
  <c r="P13" i="32"/>
  <c r="O13" i="32"/>
  <c r="N13" i="32"/>
  <c r="M13" i="32"/>
  <c r="L13" i="32"/>
  <c r="K13" i="32"/>
  <c r="J13" i="32"/>
  <c r="J14" i="32" s="1"/>
  <c r="I13" i="32"/>
  <c r="H13" i="32"/>
  <c r="G13" i="32"/>
  <c r="F13" i="32"/>
  <c r="E13" i="32"/>
  <c r="D13" i="32"/>
  <c r="AL12" i="32"/>
  <c r="AK12" i="32"/>
  <c r="AJ12" i="32"/>
  <c r="AI12" i="32"/>
  <c r="AH12" i="32"/>
  <c r="AG12" i="32"/>
  <c r="AF12" i="32"/>
  <c r="AE12" i="32"/>
  <c r="AD12" i="32"/>
  <c r="AD14" i="32" s="1"/>
  <c r="AC12" i="32"/>
  <c r="AB12" i="32"/>
  <c r="AA12" i="32"/>
  <c r="Z12" i="32"/>
  <c r="Y12" i="32"/>
  <c r="X12" i="32"/>
  <c r="W12" i="32"/>
  <c r="V12" i="32"/>
  <c r="U12" i="32"/>
  <c r="U14" i="32" s="1"/>
  <c r="T12" i="32"/>
  <c r="S12" i="32"/>
  <c r="R12" i="32"/>
  <c r="R14" i="32" s="1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AL10" i="32"/>
  <c r="AK10" i="32"/>
  <c r="AJ10" i="32"/>
  <c r="AI10" i="32"/>
  <c r="AH10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AL9" i="32"/>
  <c r="AK9" i="32"/>
  <c r="AJ9" i="32"/>
  <c r="AI9" i="32"/>
  <c r="AH9" i="32"/>
  <c r="AG9" i="32"/>
  <c r="AF9" i="32"/>
  <c r="AE9" i="32"/>
  <c r="AD9" i="32"/>
  <c r="AC9" i="32"/>
  <c r="AC11" i="32" s="1"/>
  <c r="AB9" i="32"/>
  <c r="AB11" i="32" s="1"/>
  <c r="AA9" i="32"/>
  <c r="AA11" i="32" s="1"/>
  <c r="Z9" i="32"/>
  <c r="Y9" i="32"/>
  <c r="X9" i="32"/>
  <c r="W9" i="32"/>
  <c r="V9" i="32"/>
  <c r="U9" i="32"/>
  <c r="T9" i="32"/>
  <c r="S9" i="32"/>
  <c r="R9" i="32"/>
  <c r="Q9" i="32"/>
  <c r="Q11" i="32" s="1"/>
  <c r="P9" i="32"/>
  <c r="O9" i="32"/>
  <c r="O11" i="32" s="1"/>
  <c r="N9" i="32"/>
  <c r="M9" i="32"/>
  <c r="L9" i="32"/>
  <c r="K9" i="32"/>
  <c r="J9" i="32"/>
  <c r="I9" i="32"/>
  <c r="H9" i="32"/>
  <c r="G9" i="32"/>
  <c r="F9" i="32"/>
  <c r="F11" i="32" s="1"/>
  <c r="E9" i="32"/>
  <c r="D9" i="32"/>
  <c r="AL7" i="32"/>
  <c r="AK7" i="32"/>
  <c r="AJ7" i="32"/>
  <c r="AI7" i="32"/>
  <c r="AH7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R8" i="32" s="1"/>
  <c r="Q7" i="32"/>
  <c r="P7" i="32"/>
  <c r="O7" i="32"/>
  <c r="N7" i="32"/>
  <c r="M7" i="32"/>
  <c r="L7" i="32"/>
  <c r="K7" i="32"/>
  <c r="K8" i="32" s="1"/>
  <c r="J7" i="32"/>
  <c r="I7" i="32"/>
  <c r="H7" i="32"/>
  <c r="G7" i="32"/>
  <c r="G8" i="32" s="1"/>
  <c r="F7" i="32"/>
  <c r="F8" i="32" s="1"/>
  <c r="E7" i="32"/>
  <c r="D7" i="32"/>
  <c r="AL6" i="32"/>
  <c r="AK6" i="32"/>
  <c r="AJ6" i="32"/>
  <c r="AI6" i="32"/>
  <c r="AH6" i="32"/>
  <c r="AG6" i="32"/>
  <c r="AF6" i="32"/>
  <c r="AE6" i="32"/>
  <c r="AE8" i="32" s="1"/>
  <c r="AD6" i="32"/>
  <c r="AD8" i="32" s="1"/>
  <c r="AC6" i="32"/>
  <c r="AC8" i="32" s="1"/>
  <c r="AB6" i="32"/>
  <c r="AB8" i="32" s="1"/>
  <c r="AA6" i="32"/>
  <c r="AA8" i="32" s="1"/>
  <c r="Z6" i="32"/>
  <c r="Z8" i="32" s="1"/>
  <c r="Y6" i="32"/>
  <c r="X6" i="32"/>
  <c r="W6" i="32"/>
  <c r="V6" i="32"/>
  <c r="U6" i="32"/>
  <c r="T6" i="32"/>
  <c r="S6" i="32"/>
  <c r="S8" i="32" s="1"/>
  <c r="R6" i="32"/>
  <c r="Q6" i="32"/>
  <c r="P6" i="32"/>
  <c r="O6" i="32"/>
  <c r="N6" i="32"/>
  <c r="M6" i="32"/>
  <c r="M8" i="32" s="1"/>
  <c r="L6" i="32"/>
  <c r="K6" i="32"/>
  <c r="J6" i="32"/>
  <c r="I6" i="32"/>
  <c r="H6" i="32"/>
  <c r="G6" i="32"/>
  <c r="F6" i="32"/>
  <c r="E6" i="32"/>
  <c r="E8" i="32" s="1"/>
  <c r="D6" i="32"/>
  <c r="C25" i="32"/>
  <c r="C24" i="32"/>
  <c r="C22" i="32"/>
  <c r="C21" i="32"/>
  <c r="C19" i="32"/>
  <c r="C18" i="32"/>
  <c r="C16" i="32"/>
  <c r="C15" i="32"/>
  <c r="C13" i="32"/>
  <c r="C12" i="32"/>
  <c r="C10" i="32"/>
  <c r="C9" i="32"/>
  <c r="C7" i="32"/>
  <c r="C6" i="32"/>
  <c r="AL28" i="30"/>
  <c r="AK28" i="30"/>
  <c r="AJ28" i="30"/>
  <c r="AI28" i="30"/>
  <c r="AH28" i="30"/>
  <c r="AG28" i="30"/>
  <c r="AF28" i="30"/>
  <c r="AE28" i="30"/>
  <c r="AD28" i="30"/>
  <c r="AC28" i="30"/>
  <c r="AB28" i="30"/>
  <c r="AB29" i="30" s="1"/>
  <c r="AA28" i="30"/>
  <c r="Z28" i="30"/>
  <c r="Y28" i="30"/>
  <c r="X28" i="30"/>
  <c r="W28" i="30"/>
  <c r="V28" i="30"/>
  <c r="U28" i="30"/>
  <c r="T28" i="30"/>
  <c r="S28" i="30"/>
  <c r="R28" i="30"/>
  <c r="R29" i="30" s="1"/>
  <c r="Q28" i="30"/>
  <c r="P28" i="30"/>
  <c r="P29" i="30" s="1"/>
  <c r="O28" i="30"/>
  <c r="N28" i="30"/>
  <c r="M28" i="30"/>
  <c r="L28" i="30"/>
  <c r="K28" i="30"/>
  <c r="K29" i="30" s="1"/>
  <c r="J28" i="30"/>
  <c r="I28" i="30"/>
  <c r="H28" i="30"/>
  <c r="G28" i="30"/>
  <c r="F28" i="30"/>
  <c r="F29" i="30" s="1"/>
  <c r="E28" i="30"/>
  <c r="D28" i="30"/>
  <c r="D29" i="30" s="1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AA29" i="30" s="1"/>
  <c r="Z27" i="30"/>
  <c r="Y27" i="30"/>
  <c r="X27" i="30"/>
  <c r="W27" i="30"/>
  <c r="V27" i="30"/>
  <c r="U27" i="30"/>
  <c r="T27" i="30"/>
  <c r="T29" i="30" s="1"/>
  <c r="S27" i="30"/>
  <c r="R27" i="30"/>
  <c r="Q27" i="30"/>
  <c r="Q29" i="30" s="1"/>
  <c r="P27" i="30"/>
  <c r="O27" i="30"/>
  <c r="N27" i="30"/>
  <c r="N29" i="30" s="1"/>
  <c r="M27" i="30"/>
  <c r="L27" i="30"/>
  <c r="K27" i="30"/>
  <c r="J27" i="30"/>
  <c r="I27" i="30"/>
  <c r="H27" i="30"/>
  <c r="G27" i="30"/>
  <c r="F27" i="30"/>
  <c r="E27" i="30"/>
  <c r="E29" i="30" s="1"/>
  <c r="D27" i="30"/>
  <c r="G25" i="30"/>
  <c r="F25" i="30"/>
  <c r="E25" i="30"/>
  <c r="D25" i="30"/>
  <c r="AL24" i="30"/>
  <c r="AK24" i="30"/>
  <c r="AJ24" i="30"/>
  <c r="AI24" i="30"/>
  <c r="AH24" i="30"/>
  <c r="AG24" i="30"/>
  <c r="AF24" i="30"/>
  <c r="AE24" i="30"/>
  <c r="AD24" i="30"/>
  <c r="AD26" i="30" s="1"/>
  <c r="AC24" i="30"/>
  <c r="AC26" i="30" s="1"/>
  <c r="AB24" i="30"/>
  <c r="AB26" i="30" s="1"/>
  <c r="AA24" i="30"/>
  <c r="Z24" i="30"/>
  <c r="Z26" i="30" s="1"/>
  <c r="Y24" i="30"/>
  <c r="X24" i="30"/>
  <c r="W24" i="30"/>
  <c r="V24" i="30"/>
  <c r="U24" i="30"/>
  <c r="T24" i="30"/>
  <c r="T26" i="30" s="1"/>
  <c r="S24" i="30"/>
  <c r="R24" i="30"/>
  <c r="R26" i="30" s="1"/>
  <c r="Q24" i="30"/>
  <c r="Q26" i="30" s="1"/>
  <c r="P24" i="30"/>
  <c r="P26" i="30" s="1"/>
  <c r="O24" i="30"/>
  <c r="N24" i="30"/>
  <c r="M24" i="30"/>
  <c r="L24" i="30"/>
  <c r="K24" i="30"/>
  <c r="K26" i="30" s="1"/>
  <c r="J24" i="30"/>
  <c r="I24" i="30"/>
  <c r="H24" i="30"/>
  <c r="H26" i="30" s="1"/>
  <c r="G24" i="30"/>
  <c r="F24" i="30"/>
  <c r="F26" i="30" s="1"/>
  <c r="E24" i="30"/>
  <c r="D24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S23" i="30" s="1"/>
  <c r="R22" i="30"/>
  <c r="Q22" i="30"/>
  <c r="P22" i="30"/>
  <c r="O22" i="30"/>
  <c r="N22" i="30"/>
  <c r="M22" i="30"/>
  <c r="L22" i="30"/>
  <c r="K22" i="30"/>
  <c r="J22" i="30"/>
  <c r="I22" i="30"/>
  <c r="H22" i="30"/>
  <c r="H23" i="30" s="1"/>
  <c r="G22" i="30"/>
  <c r="F22" i="30"/>
  <c r="E22" i="30"/>
  <c r="D22" i="30"/>
  <c r="AL21" i="30"/>
  <c r="AL23" i="30" s="1"/>
  <c r="AK21" i="30"/>
  <c r="AJ21" i="30"/>
  <c r="AI21" i="30"/>
  <c r="AH21" i="30"/>
  <c r="AG21" i="30"/>
  <c r="AG23" i="30" s="1"/>
  <c r="AF21" i="30"/>
  <c r="AF23" i="30" s="1"/>
  <c r="AE21" i="30"/>
  <c r="AE23" i="30" s="1"/>
  <c r="AD21" i="30"/>
  <c r="AD23" i="30" s="1"/>
  <c r="AC21" i="30"/>
  <c r="AC23" i="30" s="1"/>
  <c r="AB21" i="30"/>
  <c r="AB23" i="30" s="1"/>
  <c r="AA21" i="30"/>
  <c r="AA23" i="30" s="1"/>
  <c r="Z21" i="30"/>
  <c r="Z23" i="30" s="1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M23" i="30" s="1"/>
  <c r="L21" i="30"/>
  <c r="K21" i="30"/>
  <c r="J21" i="30"/>
  <c r="I21" i="30"/>
  <c r="H21" i="30"/>
  <c r="G21" i="30"/>
  <c r="F21" i="30"/>
  <c r="E21" i="30"/>
  <c r="D21" i="30"/>
  <c r="AE20" i="30"/>
  <c r="Y20" i="30"/>
  <c r="E19" i="30"/>
  <c r="D19" i="30"/>
  <c r="AL18" i="30"/>
  <c r="AK18" i="30"/>
  <c r="AJ18" i="30"/>
  <c r="AI18" i="30"/>
  <c r="AH18" i="30"/>
  <c r="AG18" i="30"/>
  <c r="AF18" i="30"/>
  <c r="AE18" i="30"/>
  <c r="AD18" i="30"/>
  <c r="AD20" i="30" s="1"/>
  <c r="AC18" i="30"/>
  <c r="AB18" i="30"/>
  <c r="AA18" i="30"/>
  <c r="Z18" i="30"/>
  <c r="Y18" i="30"/>
  <c r="X18" i="30"/>
  <c r="W18" i="30"/>
  <c r="W20" i="30" s="1"/>
  <c r="V18" i="30"/>
  <c r="V20" i="30" s="1"/>
  <c r="U18" i="30"/>
  <c r="T18" i="30"/>
  <c r="S18" i="30"/>
  <c r="R18" i="30"/>
  <c r="Q18" i="30"/>
  <c r="P18" i="30"/>
  <c r="O18" i="30"/>
  <c r="N18" i="30"/>
  <c r="N20" i="30" s="1"/>
  <c r="M18" i="30"/>
  <c r="L18" i="30"/>
  <c r="K18" i="30"/>
  <c r="K20" i="30" s="1"/>
  <c r="J18" i="30"/>
  <c r="I18" i="30"/>
  <c r="H18" i="30"/>
  <c r="G18" i="30"/>
  <c r="F18" i="30"/>
  <c r="E18" i="30"/>
  <c r="D18" i="30"/>
  <c r="AK17" i="30"/>
  <c r="AJ17" i="30"/>
  <c r="Y17" i="30"/>
  <c r="L17" i="30"/>
  <c r="F16" i="30"/>
  <c r="F17" i="30" s="1"/>
  <c r="E16" i="30"/>
  <c r="E17" i="30" s="1"/>
  <c r="D16" i="30"/>
  <c r="AL15" i="30"/>
  <c r="AK15" i="30"/>
  <c r="AJ15" i="30"/>
  <c r="AI15" i="30"/>
  <c r="AH15" i="30"/>
  <c r="AG15" i="30"/>
  <c r="AF15" i="30"/>
  <c r="AE15" i="30"/>
  <c r="AD15" i="30"/>
  <c r="AC15" i="30"/>
  <c r="AB15" i="30"/>
  <c r="AB17" i="30" s="1"/>
  <c r="AA15" i="30"/>
  <c r="Z15" i="30"/>
  <c r="Y15" i="30"/>
  <c r="X15" i="30"/>
  <c r="W15" i="30"/>
  <c r="V15" i="30"/>
  <c r="U15" i="30"/>
  <c r="U17" i="30" s="1"/>
  <c r="T15" i="30"/>
  <c r="S15" i="30"/>
  <c r="R15" i="30"/>
  <c r="Q15" i="30"/>
  <c r="P15" i="30"/>
  <c r="O15" i="30"/>
  <c r="O17" i="30" s="1"/>
  <c r="N15" i="30"/>
  <c r="M15" i="30"/>
  <c r="M17" i="30" s="1"/>
  <c r="L15" i="30"/>
  <c r="K15" i="30"/>
  <c r="J15" i="30"/>
  <c r="I15" i="30"/>
  <c r="H15" i="30"/>
  <c r="G15" i="30"/>
  <c r="F15" i="30"/>
  <c r="E15" i="30"/>
  <c r="D15" i="30"/>
  <c r="AL13" i="30"/>
  <c r="AK13" i="30"/>
  <c r="AJ13" i="30"/>
  <c r="AI13" i="30"/>
  <c r="AH13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M14" i="30" s="1"/>
  <c r="L13" i="30"/>
  <c r="K13" i="30"/>
  <c r="J13" i="30"/>
  <c r="I13" i="30"/>
  <c r="H13" i="30"/>
  <c r="G13" i="30"/>
  <c r="F13" i="30"/>
  <c r="E13" i="30"/>
  <c r="D13" i="30"/>
  <c r="AL12" i="30"/>
  <c r="AK12" i="30"/>
  <c r="AJ12" i="30"/>
  <c r="AI12" i="30"/>
  <c r="AH12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K14" i="30" s="1"/>
  <c r="J12" i="30"/>
  <c r="I12" i="30"/>
  <c r="H12" i="30"/>
  <c r="G12" i="30"/>
  <c r="F12" i="30"/>
  <c r="E12" i="30"/>
  <c r="D12" i="30"/>
  <c r="D14" i="30" s="1"/>
  <c r="AL10" i="30"/>
  <c r="AK10" i="30"/>
  <c r="AJ10" i="30"/>
  <c r="AI10" i="30"/>
  <c r="AH10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T11" i="30" s="1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AL9" i="30"/>
  <c r="AK9" i="30"/>
  <c r="AJ9" i="30"/>
  <c r="AI9" i="30"/>
  <c r="AH9" i="30"/>
  <c r="AG9" i="30"/>
  <c r="AF9" i="30"/>
  <c r="AE9" i="30"/>
  <c r="AD9" i="30"/>
  <c r="AC9" i="30"/>
  <c r="AB9" i="30"/>
  <c r="AB11" i="30" s="1"/>
  <c r="AA9" i="30"/>
  <c r="Z9" i="30"/>
  <c r="Y9" i="30"/>
  <c r="X9" i="30"/>
  <c r="X11" i="30" s="1"/>
  <c r="W9" i="30"/>
  <c r="V9" i="30"/>
  <c r="V11" i="30" s="1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AL7" i="30"/>
  <c r="AK7" i="30"/>
  <c r="AJ7" i="30"/>
  <c r="AI7" i="30"/>
  <c r="AH7" i="30"/>
  <c r="AG7" i="30"/>
  <c r="AF7" i="30"/>
  <c r="AE7" i="30"/>
  <c r="AD7" i="30"/>
  <c r="AC7" i="30"/>
  <c r="AB7" i="30"/>
  <c r="AA7" i="30"/>
  <c r="Z7" i="30"/>
  <c r="Y7" i="30"/>
  <c r="Y8" i="30" s="1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H8" i="30" s="1"/>
  <c r="G7" i="30"/>
  <c r="F7" i="30"/>
  <c r="E7" i="30"/>
  <c r="D7" i="30"/>
  <c r="AL6" i="30"/>
  <c r="AL8" i="30" s="1"/>
  <c r="AK6" i="30"/>
  <c r="AJ6" i="30"/>
  <c r="AI6" i="30"/>
  <c r="AH6" i="30"/>
  <c r="AG6" i="30"/>
  <c r="AF6" i="30"/>
  <c r="AE6" i="30"/>
  <c r="AE8" i="30" s="1"/>
  <c r="AD6" i="30"/>
  <c r="AD8" i="30" s="1"/>
  <c r="AC6" i="30"/>
  <c r="AB6" i="30"/>
  <c r="AB8" i="30" s="1"/>
  <c r="AA6" i="30"/>
  <c r="AA8" i="30" s="1"/>
  <c r="Z6" i="30"/>
  <c r="Z8" i="30" s="1"/>
  <c r="Y6" i="30"/>
  <c r="X6" i="30"/>
  <c r="X8" i="30" s="1"/>
  <c r="W6" i="30"/>
  <c r="V6" i="30"/>
  <c r="U6" i="30"/>
  <c r="T6" i="30"/>
  <c r="S6" i="30"/>
  <c r="R6" i="30"/>
  <c r="R8" i="30" s="1"/>
  <c r="Q6" i="30"/>
  <c r="Q8" i="30" s="1"/>
  <c r="P6" i="30"/>
  <c r="O6" i="30"/>
  <c r="O8" i="30" s="1"/>
  <c r="N6" i="30"/>
  <c r="M6" i="30"/>
  <c r="L6" i="30"/>
  <c r="K6" i="30"/>
  <c r="J6" i="30"/>
  <c r="I6" i="30"/>
  <c r="H6" i="30"/>
  <c r="G6" i="30"/>
  <c r="G8" i="30" s="1"/>
  <c r="F6" i="30"/>
  <c r="F8" i="30" s="1"/>
  <c r="E6" i="30"/>
  <c r="D6" i="30"/>
  <c r="C28" i="30"/>
  <c r="C27" i="30"/>
  <c r="C25" i="30"/>
  <c r="C24" i="30"/>
  <c r="C22" i="30"/>
  <c r="C21" i="30"/>
  <c r="C19" i="30"/>
  <c r="C18" i="30"/>
  <c r="C16" i="30"/>
  <c r="C17" i="30" s="1"/>
  <c r="C15" i="30"/>
  <c r="C13" i="30"/>
  <c r="C12" i="30"/>
  <c r="C10" i="30"/>
  <c r="C9" i="30"/>
  <c r="C7" i="30"/>
  <c r="C6" i="30"/>
  <c r="H26" i="4"/>
  <c r="E25" i="4"/>
  <c r="D25" i="4"/>
  <c r="AL24" i="4"/>
  <c r="AK24" i="4"/>
  <c r="AJ24" i="4"/>
  <c r="AI24" i="4"/>
  <c r="AH24" i="4"/>
  <c r="AG24" i="4"/>
  <c r="AF24" i="4"/>
  <c r="AE24" i="4"/>
  <c r="AE26" i="4" s="1"/>
  <c r="AD24" i="4"/>
  <c r="AD26" i="4" s="1"/>
  <c r="AC24" i="4"/>
  <c r="AB24" i="4"/>
  <c r="AA24" i="4"/>
  <c r="Z24" i="4"/>
  <c r="Z26" i="4" s="1"/>
  <c r="Y24" i="4"/>
  <c r="X24" i="4"/>
  <c r="W24" i="4"/>
  <c r="V24" i="4"/>
  <c r="U24" i="4"/>
  <c r="T24" i="4"/>
  <c r="T26" i="4" s="1"/>
  <c r="S24" i="4"/>
  <c r="S26" i="4" s="1"/>
  <c r="R24" i="4"/>
  <c r="R26" i="4" s="1"/>
  <c r="Q24" i="4"/>
  <c r="Q26" i="4" s="1"/>
  <c r="P24" i="4"/>
  <c r="P26" i="4" s="1"/>
  <c r="O24" i="4"/>
  <c r="O26" i="4" s="1"/>
  <c r="N24" i="4"/>
  <c r="M24" i="4"/>
  <c r="L24" i="4"/>
  <c r="K24" i="4"/>
  <c r="J24" i="4"/>
  <c r="I24" i="4"/>
  <c r="I26" i="4" s="1"/>
  <c r="H24" i="4"/>
  <c r="G24" i="4"/>
  <c r="F24" i="4"/>
  <c r="E24" i="4"/>
  <c r="D24" i="4"/>
  <c r="D26" i="4" s="1"/>
  <c r="L23" i="4"/>
  <c r="E22" i="4"/>
  <c r="D22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Q23" i="4" s="1"/>
  <c r="P21" i="4"/>
  <c r="P23" i="4" s="1"/>
  <c r="O21" i="4"/>
  <c r="N21" i="4"/>
  <c r="M21" i="4"/>
  <c r="L21" i="4"/>
  <c r="K21" i="4"/>
  <c r="J21" i="4"/>
  <c r="I21" i="4"/>
  <c r="H21" i="4"/>
  <c r="G21" i="4"/>
  <c r="G23" i="4" s="1"/>
  <c r="F21" i="4"/>
  <c r="E21" i="4"/>
  <c r="D21" i="4"/>
  <c r="D23" i="4" s="1"/>
  <c r="C25" i="4"/>
  <c r="C24" i="4"/>
  <c r="C26" i="4" s="1"/>
  <c r="C22" i="4"/>
  <c r="C21" i="4"/>
  <c r="C23" i="4" s="1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S20" i="4" s="1"/>
  <c r="R19" i="4"/>
  <c r="Q19" i="4"/>
  <c r="P19" i="4"/>
  <c r="O19" i="4"/>
  <c r="N19" i="4"/>
  <c r="M19" i="4"/>
  <c r="M20" i="4" s="1"/>
  <c r="L19" i="4"/>
  <c r="K19" i="4"/>
  <c r="J19" i="4"/>
  <c r="I19" i="4"/>
  <c r="H19" i="4"/>
  <c r="G19" i="4"/>
  <c r="G20" i="4" s="1"/>
  <c r="F19" i="4"/>
  <c r="E19" i="4"/>
  <c r="D19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Q20" i="4" s="1"/>
  <c r="P18" i="4"/>
  <c r="P20" i="4" s="1"/>
  <c r="O18" i="4"/>
  <c r="N18" i="4"/>
  <c r="M18" i="4"/>
  <c r="L18" i="4"/>
  <c r="K18" i="4"/>
  <c r="J18" i="4"/>
  <c r="I18" i="4"/>
  <c r="H18" i="4"/>
  <c r="G18" i="4"/>
  <c r="F18" i="4"/>
  <c r="E18" i="4"/>
  <c r="D18" i="4"/>
  <c r="C19" i="4"/>
  <c r="C18" i="4"/>
  <c r="W17" i="4"/>
  <c r="S17" i="4"/>
  <c r="M16" i="4"/>
  <c r="L16" i="4"/>
  <c r="K16" i="4"/>
  <c r="J16" i="4"/>
  <c r="I16" i="4"/>
  <c r="H16" i="4"/>
  <c r="G16" i="4"/>
  <c r="F16" i="4"/>
  <c r="F17" i="4" s="1"/>
  <c r="E16" i="4"/>
  <c r="D16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R17" i="4" s="1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6" i="4"/>
  <c r="C15" i="4"/>
  <c r="AL13" i="4"/>
  <c r="AK13" i="4"/>
  <c r="AJ13" i="4"/>
  <c r="AI13" i="4"/>
  <c r="AH13" i="4"/>
  <c r="AG13" i="4"/>
  <c r="AF13" i="4"/>
  <c r="AE13" i="4"/>
  <c r="AD13" i="4"/>
  <c r="AC13" i="4"/>
  <c r="AB13" i="4"/>
  <c r="AB14" i="4" s="1"/>
  <c r="AA13" i="4"/>
  <c r="Z13" i="4"/>
  <c r="Y13" i="4"/>
  <c r="X13" i="4"/>
  <c r="X14" i="4" s="1"/>
  <c r="W13" i="4"/>
  <c r="V13" i="4"/>
  <c r="U13" i="4"/>
  <c r="U14" i="4" s="1"/>
  <c r="T13" i="4"/>
  <c r="T14" i="4" s="1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D14" i="4" s="1"/>
  <c r="AL12" i="4"/>
  <c r="AK12" i="4"/>
  <c r="AJ12" i="4"/>
  <c r="AI12" i="4"/>
  <c r="AI14" i="4" s="1"/>
  <c r="AH12" i="4"/>
  <c r="AG12" i="4"/>
  <c r="AG14" i="4" s="1"/>
  <c r="AF12" i="4"/>
  <c r="AF14" i="4" s="1"/>
  <c r="AE12" i="4"/>
  <c r="AD12" i="4"/>
  <c r="AC12" i="4"/>
  <c r="AC14" i="4" s="1"/>
  <c r="AB12" i="4"/>
  <c r="AA12" i="4"/>
  <c r="Z12" i="4"/>
  <c r="Y12" i="4"/>
  <c r="X12" i="4"/>
  <c r="W12" i="4"/>
  <c r="V12" i="4"/>
  <c r="U12" i="4"/>
  <c r="T12" i="4"/>
  <c r="S12" i="4"/>
  <c r="R12" i="4"/>
  <c r="Q12" i="4"/>
  <c r="Q14" i="4" s="1"/>
  <c r="P12" i="4"/>
  <c r="O12" i="4"/>
  <c r="N12" i="4"/>
  <c r="M12" i="4"/>
  <c r="L12" i="4"/>
  <c r="K12" i="4"/>
  <c r="J12" i="4"/>
  <c r="I12" i="4"/>
  <c r="H12" i="4"/>
  <c r="G12" i="4"/>
  <c r="G14" i="4" s="1"/>
  <c r="F12" i="4"/>
  <c r="E12" i="4"/>
  <c r="D12" i="4"/>
  <c r="C13" i="4"/>
  <c r="C12" i="4"/>
  <c r="C14" i="4" s="1"/>
  <c r="N10" i="4"/>
  <c r="M10" i="4"/>
  <c r="L10" i="4"/>
  <c r="K10" i="4"/>
  <c r="J10" i="4"/>
  <c r="I10" i="4"/>
  <c r="H10" i="4"/>
  <c r="G10" i="4"/>
  <c r="F10" i="4"/>
  <c r="E10" i="4"/>
  <c r="D10" i="4"/>
  <c r="AL9" i="4"/>
  <c r="AK9" i="4"/>
  <c r="AK11" i="4" s="1"/>
  <c r="AJ9" i="4"/>
  <c r="AJ11" i="4" s="1"/>
  <c r="AI9" i="4"/>
  <c r="AI11" i="4" s="1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S11" i="4" s="1"/>
  <c r="R9" i="4"/>
  <c r="Q9" i="4"/>
  <c r="P9" i="4"/>
  <c r="O9" i="4"/>
  <c r="N9" i="4"/>
  <c r="M9" i="4"/>
  <c r="L9" i="4"/>
  <c r="K9" i="4"/>
  <c r="J9" i="4"/>
  <c r="I9" i="4"/>
  <c r="H9" i="4"/>
  <c r="G9" i="4"/>
  <c r="G11" i="4" s="1"/>
  <c r="F9" i="4"/>
  <c r="E9" i="4"/>
  <c r="D9" i="4"/>
  <c r="C10" i="4"/>
  <c r="C9" i="4"/>
  <c r="AL7" i="4"/>
  <c r="AK7" i="4"/>
  <c r="AJ7" i="4"/>
  <c r="AI7" i="4"/>
  <c r="AH7" i="4"/>
  <c r="AG7" i="4"/>
  <c r="AF7" i="4"/>
  <c r="AE7" i="4"/>
  <c r="AE8" i="4" s="1"/>
  <c r="AD7" i="4"/>
  <c r="AC7" i="4"/>
  <c r="AB7" i="4"/>
  <c r="AA7" i="4"/>
  <c r="Z7" i="4"/>
  <c r="Y7" i="4"/>
  <c r="X7" i="4"/>
  <c r="W7" i="4"/>
  <c r="V7" i="4"/>
  <c r="V8" i="4" s="1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L6" i="4"/>
  <c r="AK6" i="4"/>
  <c r="AJ6" i="4"/>
  <c r="AI6" i="4"/>
  <c r="AH6" i="4"/>
  <c r="AH8" i="4" s="1"/>
  <c r="AG6" i="4"/>
  <c r="AG8" i="4" s="1"/>
  <c r="AF6" i="4"/>
  <c r="AF8" i="4" s="1"/>
  <c r="AE6" i="4"/>
  <c r="AD6" i="4"/>
  <c r="AD8" i="4" s="1"/>
  <c r="AC6" i="4"/>
  <c r="AB6" i="4"/>
  <c r="AB8" i="4" s="1"/>
  <c r="AA6" i="4"/>
  <c r="Z6" i="4"/>
  <c r="Y6" i="4"/>
  <c r="X6" i="4"/>
  <c r="W6" i="4"/>
  <c r="V6" i="4"/>
  <c r="U6" i="4"/>
  <c r="T6" i="4"/>
  <c r="T8" i="4" s="1"/>
  <c r="S6" i="4"/>
  <c r="R6" i="4"/>
  <c r="Q6" i="4"/>
  <c r="P6" i="4"/>
  <c r="O6" i="4"/>
  <c r="N6" i="4"/>
  <c r="M6" i="4"/>
  <c r="L6" i="4"/>
  <c r="K6" i="4"/>
  <c r="J6" i="4"/>
  <c r="I6" i="4"/>
  <c r="H6" i="4"/>
  <c r="G6" i="4"/>
  <c r="G8" i="4" s="1"/>
  <c r="F6" i="4"/>
  <c r="E6" i="4"/>
  <c r="E8" i="4" s="1"/>
  <c r="D6" i="4"/>
  <c r="C7" i="4"/>
  <c r="C6" i="4"/>
  <c r="AC8" i="4"/>
  <c r="AA8" i="4"/>
  <c r="X8" i="4"/>
  <c r="Q8" i="4"/>
  <c r="L23" i="30"/>
  <c r="K23" i="30"/>
  <c r="AK17" i="4"/>
  <c r="Y17" i="4"/>
  <c r="X17" i="4"/>
  <c r="AF17" i="30"/>
  <c r="H17" i="30"/>
  <c r="AG23" i="32"/>
  <c r="AF23" i="32"/>
  <c r="AL23" i="32"/>
  <c r="Z23" i="32"/>
  <c r="AF20" i="32"/>
  <c r="AE20" i="32"/>
  <c r="Y20" i="32"/>
  <c r="AJ20" i="32"/>
  <c r="Y17" i="32"/>
  <c r="N17" i="32"/>
  <c r="M17" i="32"/>
  <c r="E14" i="32"/>
  <c r="D14" i="32"/>
  <c r="AI14" i="32"/>
  <c r="W14" i="32"/>
  <c r="Z11" i="32"/>
  <c r="AG11" i="32"/>
  <c r="I11" i="32"/>
  <c r="V8" i="32"/>
  <c r="C17" i="32"/>
  <c r="C14" i="32"/>
  <c r="C11" i="32"/>
  <c r="AK26" i="4"/>
  <c r="Y26" i="4"/>
  <c r="L26" i="4"/>
  <c r="K26" i="4"/>
  <c r="AK23" i="30"/>
  <c r="Y23" i="30"/>
  <c r="AF20" i="30"/>
  <c r="AG14" i="30"/>
  <c r="AI14" i="30"/>
  <c r="W14" i="30"/>
  <c r="N14" i="30"/>
  <c r="AI11" i="30"/>
  <c r="AD11" i="30"/>
  <c r="AC11" i="30"/>
  <c r="AA11" i="30"/>
  <c r="Z11" i="30"/>
  <c r="Y11" i="30"/>
  <c r="W11" i="30"/>
  <c r="M8" i="30"/>
  <c r="AK8" i="30"/>
  <c r="AH8" i="30"/>
  <c r="AG8" i="30"/>
  <c r="W8" i="30"/>
  <c r="U8" i="30"/>
  <c r="C14" i="30"/>
  <c r="M23" i="4"/>
  <c r="F23" i="4"/>
  <c r="R20" i="4"/>
  <c r="AH17" i="4"/>
  <c r="AG17" i="4"/>
  <c r="AF17" i="4"/>
  <c r="AE17" i="4"/>
  <c r="V17" i="4"/>
  <c r="J17" i="4"/>
  <c r="S14" i="4"/>
  <c r="AJ14" i="4"/>
  <c r="W14" i="4"/>
  <c r="AL11" i="4"/>
  <c r="AH11" i="4"/>
  <c r="AG11" i="4"/>
  <c r="AF11" i="4"/>
  <c r="AE11" i="4"/>
  <c r="AJ8" i="4"/>
  <c r="Z8" i="4"/>
  <c r="Y8" i="4"/>
  <c r="W8" i="4"/>
  <c r="A6" i="4"/>
  <c r="A9" i="4"/>
  <c r="A12" i="4"/>
  <c r="A15" i="4"/>
  <c r="A21" i="4"/>
  <c r="A18" i="4"/>
  <c r="A24" i="4"/>
  <c r="B34" i="32"/>
  <c r="B33" i="32"/>
  <c r="B31" i="32"/>
  <c r="B30" i="32"/>
  <c r="B28" i="32"/>
  <c r="B27" i="32"/>
  <c r="B25" i="32"/>
  <c r="B24" i="32"/>
  <c r="B22" i="32"/>
  <c r="B21" i="32"/>
  <c r="B19" i="32"/>
  <c r="B18" i="32"/>
  <c r="B16" i="32"/>
  <c r="B15" i="32"/>
  <c r="B13" i="32"/>
  <c r="B12" i="32"/>
  <c r="B10" i="32"/>
  <c r="B9" i="32"/>
  <c r="B7" i="32"/>
  <c r="B6" i="32"/>
  <c r="A33" i="32"/>
  <c r="A30" i="32"/>
  <c r="A27" i="32"/>
  <c r="A24" i="32"/>
  <c r="A21" i="32"/>
  <c r="A18" i="32"/>
  <c r="A15" i="32"/>
  <c r="A12" i="32"/>
  <c r="A9" i="32"/>
  <c r="A6" i="32"/>
  <c r="B34" i="30"/>
  <c r="B33" i="30"/>
  <c r="B31" i="30"/>
  <c r="B30" i="30"/>
  <c r="B28" i="30"/>
  <c r="B27" i="30"/>
  <c r="B25" i="30"/>
  <c r="B24" i="30"/>
  <c r="B22" i="30"/>
  <c r="B21" i="30"/>
  <c r="B19" i="30"/>
  <c r="B18" i="30"/>
  <c r="B16" i="30"/>
  <c r="B15" i="30"/>
  <c r="B13" i="30"/>
  <c r="B12" i="30"/>
  <c r="B10" i="30"/>
  <c r="B9" i="30"/>
  <c r="B7" i="30"/>
  <c r="B6" i="30"/>
  <c r="A33" i="30"/>
  <c r="A30" i="30"/>
  <c r="A27" i="30"/>
  <c r="A24" i="30"/>
  <c r="A21" i="30"/>
  <c r="A18" i="30"/>
  <c r="A15" i="30"/>
  <c r="A12" i="30"/>
  <c r="A9" i="30"/>
  <c r="A6" i="30"/>
  <c r="B34" i="4"/>
  <c r="B33" i="4"/>
  <c r="B31" i="4"/>
  <c r="B30" i="4"/>
  <c r="B28" i="4"/>
  <c r="B27" i="4"/>
  <c r="B25" i="4"/>
  <c r="B24" i="4"/>
  <c r="B22" i="4"/>
  <c r="B21" i="4"/>
  <c r="B19" i="4"/>
  <c r="B18" i="4"/>
  <c r="B16" i="4"/>
  <c r="B15" i="4"/>
  <c r="B13" i="4"/>
  <c r="B12" i="4"/>
  <c r="B10" i="4"/>
  <c r="B9" i="4"/>
  <c r="B7" i="4"/>
  <c r="B6" i="4"/>
  <c r="A33" i="4"/>
  <c r="A30" i="4"/>
  <c r="A27" i="4"/>
  <c r="AL35" i="32"/>
  <c r="AK35" i="32"/>
  <c r="AJ35" i="32"/>
  <c r="AI35" i="32"/>
  <c r="AH35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M33" i="32"/>
  <c r="AL32" i="32"/>
  <c r="AK32" i="32"/>
  <c r="AJ32" i="32"/>
  <c r="AI32" i="32"/>
  <c r="AH32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M30" i="32" s="1"/>
  <c r="AO30" i="32"/>
  <c r="AL29" i="32"/>
  <c r="AK29" i="32"/>
  <c r="AJ29" i="32"/>
  <c r="AI29" i="32"/>
  <c r="AH29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K26" i="32"/>
  <c r="AJ26" i="32"/>
  <c r="Y26" i="32"/>
  <c r="X26" i="32"/>
  <c r="M26" i="32"/>
  <c r="L26" i="32"/>
  <c r="Y23" i="32"/>
  <c r="X23" i="32"/>
  <c r="W23" i="32"/>
  <c r="V23" i="32"/>
  <c r="AH20" i="32"/>
  <c r="AG20" i="32"/>
  <c r="W20" i="32"/>
  <c r="L20" i="32"/>
  <c r="K20" i="32"/>
  <c r="AE17" i="32"/>
  <c r="AG14" i="32"/>
  <c r="AE14" i="32"/>
  <c r="H11" i="32"/>
  <c r="AL35" i="30"/>
  <c r="AK35" i="30"/>
  <c r="AJ35" i="30"/>
  <c r="AI35" i="30"/>
  <c r="AH35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M33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M30" i="30" s="1"/>
  <c r="AO30" i="30"/>
  <c r="AL29" i="30"/>
  <c r="AK29" i="30"/>
  <c r="AJ29" i="30"/>
  <c r="AI29" i="30"/>
  <c r="AH29" i="30"/>
  <c r="AG29" i="30"/>
  <c r="AF29" i="30"/>
  <c r="AE29" i="30"/>
  <c r="AD29" i="30"/>
  <c r="AC29" i="30"/>
  <c r="Z29" i="30"/>
  <c r="Y29" i="30"/>
  <c r="X29" i="30"/>
  <c r="W29" i="30"/>
  <c r="V29" i="30"/>
  <c r="U29" i="30"/>
  <c r="S29" i="30"/>
  <c r="M29" i="30"/>
  <c r="L29" i="30"/>
  <c r="J29" i="30"/>
  <c r="C29" i="30"/>
  <c r="AJ26" i="30"/>
  <c r="AI26" i="30"/>
  <c r="AH26" i="30"/>
  <c r="AG26" i="30"/>
  <c r="X26" i="30"/>
  <c r="U26" i="30"/>
  <c r="I26" i="30"/>
  <c r="J14" i="30"/>
  <c r="AG11" i="30"/>
  <c r="AE11" i="30"/>
  <c r="U11" i="30"/>
  <c r="AM46" i="21"/>
  <c r="AM45" i="21"/>
  <c r="AM44" i="21"/>
  <c r="AM43" i="21"/>
  <c r="AM42" i="21"/>
  <c r="AM41" i="21"/>
  <c r="AM40" i="21"/>
  <c r="AM39" i="21"/>
  <c r="AM38" i="21"/>
  <c r="AM37" i="21"/>
  <c r="AM36" i="21"/>
  <c r="AM35" i="21"/>
  <c r="AM34" i="21"/>
  <c r="AM33" i="21"/>
  <c r="AM32" i="21"/>
  <c r="AM31" i="21"/>
  <c r="AM30" i="21"/>
  <c r="AM29" i="21"/>
  <c r="AM28" i="21"/>
  <c r="AM27" i="21"/>
  <c r="AM26" i="21"/>
  <c r="AM25" i="21"/>
  <c r="AM24" i="21"/>
  <c r="AM23" i="21"/>
  <c r="AM22" i="21"/>
  <c r="AM21" i="21"/>
  <c r="AM20" i="21"/>
  <c r="AM19" i="21"/>
  <c r="AM18" i="21"/>
  <c r="AM17" i="21"/>
  <c r="AM16" i="21"/>
  <c r="AM15" i="21"/>
  <c r="AM14" i="21"/>
  <c r="AM13" i="21"/>
  <c r="AM12" i="21"/>
  <c r="AM11" i="21"/>
  <c r="AM10" i="21"/>
  <c r="AM9" i="21"/>
  <c r="AM8" i="21"/>
  <c r="AM7" i="21"/>
  <c r="AM6" i="21"/>
  <c r="AM5" i="21"/>
  <c r="AM4" i="21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O30" i="4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AO27" i="4"/>
  <c r="C29" i="4"/>
  <c r="W26" i="4"/>
  <c r="N26" i="4"/>
  <c r="AK23" i="4"/>
  <c r="AJ23" i="4"/>
  <c r="Z23" i="4"/>
  <c r="Y23" i="4"/>
  <c r="AC20" i="4"/>
  <c r="AA20" i="4"/>
  <c r="Z20" i="4"/>
  <c r="Z17" i="4"/>
  <c r="AE14" i="4"/>
  <c r="AA14" i="4"/>
  <c r="Z14" i="4"/>
  <c r="AD11" i="4"/>
  <c r="Z11" i="4"/>
  <c r="N11" i="4"/>
  <c r="AI8" i="4"/>
  <c r="AM27" i="4"/>
  <c r="AM33" i="4"/>
  <c r="H20" i="30"/>
  <c r="G14" i="32"/>
  <c r="S17" i="32"/>
  <c r="V8" i="30" l="1"/>
  <c r="V14" i="4"/>
  <c r="V26" i="30"/>
  <c r="V26" i="32"/>
  <c r="V23" i="4"/>
  <c r="T20" i="30"/>
  <c r="U11" i="32"/>
  <c r="U17" i="4"/>
  <c r="U26" i="32"/>
  <c r="U23" i="32"/>
  <c r="U8" i="4"/>
  <c r="U17" i="32"/>
  <c r="T20" i="32"/>
  <c r="T26" i="32"/>
  <c r="T17" i="4"/>
  <c r="T23" i="4"/>
  <c r="AC23" i="4"/>
  <c r="S20" i="32"/>
  <c r="S26" i="30"/>
  <c r="S11" i="30"/>
  <c r="S14" i="32"/>
  <c r="S14" i="30"/>
  <c r="R14" i="30"/>
  <c r="R11" i="30"/>
  <c r="AL26" i="30"/>
  <c r="AF26" i="30"/>
  <c r="Q20" i="32"/>
  <c r="Q17" i="30"/>
  <c r="Q11" i="30"/>
  <c r="Q17" i="4"/>
  <c r="Q14" i="30"/>
  <c r="Q23" i="30"/>
  <c r="Q17" i="32"/>
  <c r="P20" i="32"/>
  <c r="P17" i="30"/>
  <c r="P14" i="4"/>
  <c r="P14" i="32"/>
  <c r="P17" i="32"/>
  <c r="P8" i="30"/>
  <c r="P23" i="30"/>
  <c r="P17" i="4"/>
  <c r="P8" i="32"/>
  <c r="O11" i="30"/>
  <c r="O26" i="30"/>
  <c r="O23" i="30"/>
  <c r="O11" i="4"/>
  <c r="O20" i="4"/>
  <c r="O8" i="32"/>
  <c r="O29" i="30"/>
  <c r="N23" i="30"/>
  <c r="N8" i="4"/>
  <c r="N17" i="30"/>
  <c r="N8" i="30"/>
  <c r="N23" i="4"/>
  <c r="N26" i="30"/>
  <c r="O17" i="4"/>
  <c r="M17" i="4"/>
  <c r="M26" i="4"/>
  <c r="L17" i="32"/>
  <c r="L17" i="4"/>
  <c r="L11" i="30"/>
  <c r="L20" i="30"/>
  <c r="K11" i="30"/>
  <c r="K14" i="4"/>
  <c r="K23" i="4"/>
  <c r="K26" i="32"/>
  <c r="K17" i="4"/>
  <c r="W23" i="4"/>
  <c r="O23" i="4"/>
  <c r="AB23" i="4"/>
  <c r="J23" i="30"/>
  <c r="J26" i="30"/>
  <c r="J26" i="32"/>
  <c r="J17" i="32"/>
  <c r="J17" i="30"/>
  <c r="I26" i="32"/>
  <c r="I29" i="30"/>
  <c r="I17" i="4"/>
  <c r="I23" i="4"/>
  <c r="I17" i="32"/>
  <c r="H17" i="4"/>
  <c r="H17" i="32"/>
  <c r="H11" i="30"/>
  <c r="H29" i="30"/>
  <c r="H8" i="32"/>
  <c r="H8" i="4"/>
  <c r="AE26" i="30"/>
  <c r="AA26" i="30"/>
  <c r="G26" i="30"/>
  <c r="G29" i="30"/>
  <c r="G26" i="32"/>
  <c r="G14" i="30"/>
  <c r="G17" i="4"/>
  <c r="G11" i="30"/>
  <c r="Z17" i="30"/>
  <c r="AA17" i="30"/>
  <c r="P23" i="32"/>
  <c r="AB23" i="32"/>
  <c r="AD23" i="32"/>
  <c r="T23" i="32"/>
  <c r="F26" i="32"/>
  <c r="F14" i="4"/>
  <c r="F8" i="4"/>
  <c r="F14" i="30"/>
  <c r="F17" i="32"/>
  <c r="AA23" i="4"/>
  <c r="E23" i="32"/>
  <c r="E26" i="30"/>
  <c r="E26" i="32"/>
  <c r="E11" i="4"/>
  <c r="E26" i="4"/>
  <c r="E14" i="4"/>
  <c r="E11" i="30"/>
  <c r="E17" i="4"/>
  <c r="E8" i="30"/>
  <c r="E17" i="32"/>
  <c r="E20" i="32"/>
  <c r="E14" i="30"/>
  <c r="E23" i="4"/>
  <c r="D20" i="4"/>
  <c r="D20" i="32"/>
  <c r="D23" i="32"/>
  <c r="D17" i="4"/>
  <c r="D8" i="30"/>
  <c r="D17" i="32"/>
  <c r="D11" i="32"/>
  <c r="D11" i="4"/>
  <c r="D26" i="32"/>
  <c r="D26" i="30"/>
  <c r="D8" i="32"/>
  <c r="C8" i="30"/>
  <c r="C11" i="30"/>
  <c r="C20" i="4"/>
  <c r="C20" i="30"/>
  <c r="C26" i="30"/>
  <c r="C26" i="32"/>
  <c r="C23" i="32"/>
  <c r="C8" i="4"/>
  <c r="AO27" i="30"/>
  <c r="AM27" i="30"/>
  <c r="M20" i="32"/>
  <c r="O23" i="32"/>
  <c r="AD23" i="4"/>
  <c r="AO27" i="32"/>
  <c r="AM27" i="32"/>
  <c r="X14" i="30"/>
  <c r="AF26" i="4"/>
  <c r="AG8" i="32"/>
  <c r="Z17" i="32"/>
  <c r="Y14" i="30"/>
  <c r="U26" i="4"/>
  <c r="AA20" i="32"/>
  <c r="AA20" i="30"/>
  <c r="AI8" i="32"/>
  <c r="AA14" i="32"/>
  <c r="L8" i="30"/>
  <c r="C17" i="4"/>
  <c r="I20" i="4"/>
  <c r="X20" i="30"/>
  <c r="AF8" i="32"/>
  <c r="X14" i="32"/>
  <c r="AA23" i="32"/>
  <c r="E20" i="4"/>
  <c r="AJ14" i="30"/>
  <c r="K11" i="32"/>
  <c r="Z20" i="32"/>
  <c r="S23" i="4"/>
  <c r="R8" i="4"/>
  <c r="AD20" i="4"/>
  <c r="L11" i="32"/>
  <c r="AA17" i="32"/>
  <c r="S8" i="4"/>
  <c r="AE20" i="4"/>
  <c r="D17" i="30"/>
  <c r="W8" i="32"/>
  <c r="Y11" i="32"/>
  <c r="O14" i="32"/>
  <c r="O14" i="30"/>
  <c r="I8" i="4"/>
  <c r="AG20" i="4"/>
  <c r="N14" i="4"/>
  <c r="T8" i="32"/>
  <c r="I8" i="32"/>
  <c r="AH11" i="32"/>
  <c r="I8" i="30"/>
  <c r="W11" i="32"/>
  <c r="Y14" i="32"/>
  <c r="AL20" i="32"/>
  <c r="F20" i="4"/>
  <c r="J8" i="30"/>
  <c r="Z20" i="30"/>
  <c r="D23" i="30"/>
  <c r="AH8" i="32"/>
  <c r="AJ11" i="32"/>
  <c r="N14" i="32"/>
  <c r="J14" i="4"/>
  <c r="K8" i="30"/>
  <c r="N11" i="30"/>
  <c r="AL11" i="30"/>
  <c r="Z14" i="30"/>
  <c r="AL14" i="30"/>
  <c r="O20" i="30"/>
  <c r="E23" i="30"/>
  <c r="V26" i="4"/>
  <c r="L8" i="32"/>
  <c r="AK11" i="32"/>
  <c r="T20" i="4"/>
  <c r="AF20" i="4"/>
  <c r="J23" i="4"/>
  <c r="AA14" i="30"/>
  <c r="AC20" i="32"/>
  <c r="S23" i="32"/>
  <c r="J11" i="4"/>
  <c r="L14" i="4"/>
  <c r="U20" i="4"/>
  <c r="P11" i="30"/>
  <c r="W11" i="4"/>
  <c r="M14" i="4"/>
  <c r="N17" i="4"/>
  <c r="I17" i="30"/>
  <c r="AG17" i="30"/>
  <c r="V11" i="32"/>
  <c r="R23" i="4"/>
  <c r="L14" i="30"/>
  <c r="M20" i="30"/>
  <c r="M14" i="32"/>
  <c r="AK14" i="30"/>
  <c r="AG26" i="4"/>
  <c r="X11" i="32"/>
  <c r="Z14" i="32"/>
  <c r="AB20" i="32"/>
  <c r="R23" i="32"/>
  <c r="H20" i="4"/>
  <c r="AI26" i="4"/>
  <c r="J8" i="4"/>
  <c r="AB14" i="30"/>
  <c r="AB20" i="30"/>
  <c r="V20" i="4"/>
  <c r="AC14" i="30"/>
  <c r="AD17" i="30"/>
  <c r="AC20" i="30"/>
  <c r="Y8" i="32"/>
  <c r="Y11" i="4"/>
  <c r="W20" i="4"/>
  <c r="F20" i="30"/>
  <c r="P11" i="32"/>
  <c r="P14" i="30"/>
  <c r="F23" i="30"/>
  <c r="J20" i="4"/>
  <c r="R17" i="30"/>
  <c r="E20" i="30"/>
  <c r="G23" i="30"/>
  <c r="AK8" i="32"/>
  <c r="AD20" i="32"/>
  <c r="L8" i="4"/>
  <c r="M11" i="4"/>
  <c r="O14" i="4"/>
  <c r="K20" i="4"/>
  <c r="AI20" i="4"/>
  <c r="AD14" i="30"/>
  <c r="R20" i="30"/>
  <c r="T23" i="30"/>
  <c r="AL8" i="32"/>
  <c r="M8" i="4"/>
  <c r="L20" i="4"/>
  <c r="AL23" i="4"/>
  <c r="G20" i="30"/>
  <c r="I23" i="30"/>
  <c r="C8" i="32"/>
  <c r="E11" i="32"/>
  <c r="AH23" i="32"/>
  <c r="D20" i="30"/>
  <c r="AA11" i="4"/>
  <c r="AB17" i="4"/>
  <c r="V23" i="30"/>
  <c r="AH23" i="30"/>
  <c r="AM30" i="4"/>
  <c r="O8" i="4"/>
  <c r="AB11" i="4"/>
  <c r="R14" i="4"/>
  <c r="AC17" i="4"/>
  <c r="N20" i="4"/>
  <c r="I20" i="30"/>
  <c r="U20" i="30"/>
  <c r="AG20" i="30"/>
  <c r="W23" i="30"/>
  <c r="AI23" i="30"/>
  <c r="S11" i="32"/>
  <c r="C11" i="4"/>
  <c r="D8" i="4"/>
  <c r="Q11" i="4"/>
  <c r="AC11" i="4"/>
  <c r="R11" i="4"/>
  <c r="AD17" i="4"/>
  <c r="K17" i="30"/>
  <c r="W17" i="30"/>
  <c r="AI17" i="30"/>
  <c r="J20" i="30"/>
  <c r="X23" i="30"/>
  <c r="AJ23" i="30"/>
  <c r="G26" i="4"/>
  <c r="AC26" i="4"/>
  <c r="T11" i="32"/>
  <c r="AF11" i="32"/>
  <c r="K14" i="32"/>
  <c r="W17" i="32"/>
  <c r="AI17" i="32"/>
  <c r="X17" i="32"/>
  <c r="AI20" i="32"/>
  <c r="F26" i="4"/>
  <c r="F11" i="4"/>
  <c r="H14" i="4"/>
  <c r="Y20" i="4"/>
  <c r="AK20" i="4"/>
  <c r="C23" i="30"/>
  <c r="F11" i="30"/>
  <c r="S17" i="30"/>
  <c r="AE17" i="30"/>
  <c r="Q20" i="30"/>
  <c r="AB26" i="4"/>
  <c r="AB14" i="32"/>
  <c r="Q23" i="32"/>
  <c r="AC23" i="32"/>
  <c r="M11" i="32"/>
  <c r="I14" i="4"/>
  <c r="AL20" i="4"/>
  <c r="AE14" i="30"/>
  <c r="Q14" i="32"/>
  <c r="AC14" i="32"/>
  <c r="G20" i="32"/>
  <c r="R20" i="32"/>
  <c r="F23" i="32"/>
  <c r="P20" i="30"/>
  <c r="AA26" i="4"/>
  <c r="H11" i="4"/>
  <c r="T11" i="4"/>
  <c r="AH14" i="4"/>
  <c r="AC8" i="30"/>
  <c r="AF11" i="30"/>
  <c r="H14" i="30"/>
  <c r="T14" i="30"/>
  <c r="AF14" i="30"/>
  <c r="S20" i="30"/>
  <c r="R23" i="30"/>
  <c r="Q8" i="32"/>
  <c r="F14" i="32"/>
  <c r="G23" i="32"/>
  <c r="I11" i="4"/>
  <c r="U11" i="4"/>
  <c r="AB20" i="4"/>
  <c r="I11" i="30"/>
  <c r="I14" i="30"/>
  <c r="U14" i="30"/>
  <c r="R11" i="32"/>
  <c r="AF17" i="32"/>
  <c r="H23" i="32"/>
  <c r="D11" i="30"/>
  <c r="X8" i="32"/>
  <c r="AL14" i="32"/>
  <c r="K11" i="4"/>
  <c r="AI17" i="4"/>
  <c r="S8" i="30"/>
  <c r="J11" i="30"/>
  <c r="V14" i="30"/>
  <c r="AH14" i="30"/>
  <c r="AH26" i="4"/>
  <c r="AD11" i="32"/>
  <c r="G11" i="32"/>
  <c r="H14" i="32"/>
  <c r="T14" i="32"/>
  <c r="AF14" i="32"/>
  <c r="AG17" i="32"/>
  <c r="AH17" i="32"/>
  <c r="AD14" i="4"/>
  <c r="P8" i="4"/>
  <c r="AJ20" i="4"/>
  <c r="Y14" i="4"/>
  <c r="T8" i="30"/>
  <c r="AF8" i="30"/>
  <c r="AE11" i="32"/>
  <c r="I14" i="32"/>
  <c r="V20" i="32"/>
  <c r="G17" i="30"/>
  <c r="N8" i="32"/>
  <c r="N11" i="32"/>
  <c r="AB17" i="32"/>
  <c r="K8" i="4"/>
  <c r="L11" i="4"/>
  <c r="X11" i="4"/>
  <c r="AE23" i="4"/>
  <c r="X20" i="4"/>
  <c r="AF23" i="4"/>
  <c r="H23" i="4"/>
  <c r="M11" i="30"/>
  <c r="AI20" i="30"/>
  <c r="U23" i="30"/>
  <c r="J8" i="32"/>
  <c r="U8" i="32"/>
  <c r="J11" i="32"/>
  <c r="P11" i="4"/>
  <c r="U23" i="4"/>
  <c r="AG23" i="4"/>
  <c r="AL26" i="4"/>
  <c r="X26" i="4"/>
  <c r="C20" i="32"/>
  <c r="L14" i="32"/>
  <c r="AL17" i="32"/>
  <c r="AH20" i="30"/>
  <c r="AJ17" i="32"/>
  <c r="AL17" i="4"/>
  <c r="AL20" i="30"/>
  <c r="AK14" i="32"/>
  <c r="AH17" i="30"/>
  <c r="AJ20" i="30"/>
  <c r="AJ26" i="4"/>
  <c r="AK20" i="30"/>
  <c r="AH20" i="4"/>
  <c r="AK20" i="32"/>
  <c r="AJ11" i="30"/>
  <c r="AH11" i="30"/>
  <c r="AK11" i="30"/>
  <c r="AJ8" i="32"/>
  <c r="AK14" i="4"/>
  <c r="AL14" i="4"/>
  <c r="AH14" i="32"/>
  <c r="AL11" i="32"/>
  <c r="AL8" i="4"/>
  <c r="AK17" i="32"/>
  <c r="AK8" i="4"/>
  <c r="AJ14" i="32"/>
  <c r="AJ23" i="32"/>
  <c r="AJ8" i="30"/>
  <c r="AI8" i="30"/>
  <c r="AI11" i="32"/>
  <c r="AM24" i="30" l="1"/>
  <c r="AM12" i="4"/>
  <c r="AO24" i="30"/>
  <c r="AM24" i="32"/>
  <c r="AO24" i="32"/>
  <c r="AM21" i="32"/>
  <c r="AO6" i="32"/>
  <c r="AM21" i="30"/>
  <c r="AO21" i="4"/>
  <c r="AM15" i="4"/>
  <c r="AO6" i="4"/>
  <c r="AO21" i="32"/>
  <c r="AO6" i="30"/>
  <c r="AM9" i="4"/>
  <c r="AO12" i="30"/>
  <c r="AO15" i="32"/>
  <c r="AO24" i="4"/>
  <c r="AM15" i="30"/>
  <c r="AO9" i="32"/>
  <c r="AM21" i="4"/>
  <c r="AO15" i="30"/>
  <c r="AM12" i="30"/>
  <c r="AM18" i="32"/>
  <c r="AM12" i="32"/>
  <c r="AM24" i="4"/>
  <c r="AM15" i="32"/>
  <c r="AM6" i="30"/>
  <c r="AO9" i="4"/>
  <c r="AM6" i="32"/>
  <c r="AO15" i="4"/>
  <c r="AO18" i="32"/>
  <c r="AO21" i="30"/>
  <c r="AO12" i="4"/>
  <c r="AO9" i="30"/>
  <c r="AO18" i="30"/>
  <c r="AO18" i="4"/>
  <c r="AM9" i="30"/>
  <c r="AM18" i="4"/>
  <c r="AM18" i="30"/>
  <c r="AO12" i="32"/>
  <c r="AM6" i="4"/>
  <c r="AM9" i="32"/>
  <c r="AN27" i="30" l="1"/>
  <c r="AN18" i="30"/>
  <c r="AN33" i="30"/>
  <c r="AN24" i="30"/>
  <c r="AN15" i="30"/>
  <c r="AN27" i="4"/>
  <c r="AN21" i="30"/>
  <c r="AN9" i="30"/>
  <c r="AN30" i="30"/>
  <c r="AN12" i="30"/>
  <c r="AN33" i="4"/>
  <c r="AN21" i="4"/>
  <c r="AN6" i="4"/>
  <c r="AN24" i="32"/>
  <c r="AN18" i="4"/>
  <c r="AN15" i="4"/>
  <c r="AN9" i="4"/>
  <c r="AN6" i="30"/>
  <c r="AN30" i="4"/>
  <c r="AN12" i="4"/>
  <c r="AN24" i="4"/>
  <c r="AN18" i="32"/>
  <c r="AN30" i="32"/>
  <c r="AN27" i="32"/>
  <c r="AN15" i="32"/>
  <c r="AN12" i="32"/>
  <c r="AN9" i="32"/>
  <c r="AN6" i="32"/>
  <c r="AN21" i="32"/>
  <c r="AN33" i="32"/>
</calcChain>
</file>

<file path=xl/sharedStrings.xml><?xml version="1.0" encoding="utf-8"?>
<sst xmlns="http://schemas.openxmlformats.org/spreadsheetml/2006/main" count="299" uniqueCount="134">
  <si>
    <t>Race 10</t>
  </si>
  <si>
    <t>Race 11</t>
  </si>
  <si>
    <t>Race 12</t>
  </si>
  <si>
    <t>Race 13</t>
  </si>
  <si>
    <t>Race 14</t>
  </si>
  <si>
    <t>Race 15</t>
  </si>
  <si>
    <t>Race 16</t>
  </si>
  <si>
    <t>Race 17</t>
  </si>
  <si>
    <t>Race 18</t>
  </si>
  <si>
    <t>Race 19</t>
  </si>
  <si>
    <t>Race 20</t>
  </si>
  <si>
    <t>Race 21</t>
  </si>
  <si>
    <t>Race 22</t>
  </si>
  <si>
    <t>Race 23</t>
  </si>
  <si>
    <t>Race 24</t>
  </si>
  <si>
    <t>Race 25</t>
  </si>
  <si>
    <t>Race 26</t>
  </si>
  <si>
    <t>Driver</t>
  </si>
  <si>
    <t>Owner</t>
  </si>
  <si>
    <t>Race 27</t>
  </si>
  <si>
    <t>Race 28</t>
  </si>
  <si>
    <t>Race 29</t>
  </si>
  <si>
    <t>Race 30</t>
  </si>
  <si>
    <t>Race 31</t>
  </si>
  <si>
    <t>Race 32</t>
  </si>
  <si>
    <t>Race 33</t>
  </si>
  <si>
    <t>Race 34</t>
  </si>
  <si>
    <t>Race 35</t>
  </si>
  <si>
    <t>Race 36</t>
  </si>
  <si>
    <t>Ranking</t>
  </si>
  <si>
    <t>Points</t>
  </si>
  <si>
    <t>Race 01</t>
  </si>
  <si>
    <t>Race 02</t>
  </si>
  <si>
    <t>Race 03</t>
  </si>
  <si>
    <t>Race 04</t>
  </si>
  <si>
    <t>Race 05</t>
  </si>
  <si>
    <t>Race 06</t>
  </si>
  <si>
    <t>Race 07</t>
  </si>
  <si>
    <t>Race 08</t>
  </si>
  <si>
    <t>Race 09</t>
  </si>
  <si>
    <t xml:space="preserve">RED Fantasy Nascar League </t>
  </si>
  <si>
    <t>AVG</t>
  </si>
  <si>
    <t>Car #</t>
  </si>
  <si>
    <t>D. Hamlin</t>
  </si>
  <si>
    <t>C. Briscoe</t>
  </si>
  <si>
    <t>C. Bell</t>
  </si>
  <si>
    <t>T. Gibbs</t>
  </si>
  <si>
    <t>A. Bowman</t>
  </si>
  <si>
    <t>W. Byron</t>
  </si>
  <si>
    <t>C. Elliot</t>
  </si>
  <si>
    <t>K. Larson</t>
  </si>
  <si>
    <t>B. Wallace</t>
  </si>
  <si>
    <t>R. Herbst</t>
  </si>
  <si>
    <t>T. Reddick</t>
  </si>
  <si>
    <t>R. Blaney</t>
  </si>
  <si>
    <t>J. Lagano</t>
  </si>
  <si>
    <t>B. Kezelowski</t>
  </si>
  <si>
    <t>C. Buscher</t>
  </si>
  <si>
    <t>R. Prece</t>
  </si>
  <si>
    <t>A. Dillon</t>
  </si>
  <si>
    <t>K. Busch</t>
  </si>
  <si>
    <t>C. Custer</t>
  </si>
  <si>
    <t>N. Gragson</t>
  </si>
  <si>
    <t>T. Gilliland</t>
  </si>
  <si>
    <t>Z. Smith</t>
  </si>
  <si>
    <t>M. McDowell</t>
  </si>
  <si>
    <t>C. Hosevar</t>
  </si>
  <si>
    <t>J. Nemecheck</t>
  </si>
  <si>
    <t>E. Jones</t>
  </si>
  <si>
    <t>R. Stenhouse Jr.</t>
  </si>
  <si>
    <t>T. Dillon</t>
  </si>
  <si>
    <t>A. Allmedinger</t>
  </si>
  <si>
    <t>J. Berry</t>
  </si>
  <si>
    <t>Total</t>
  </si>
  <si>
    <t xml:space="preserve">White Fantasy Nascar League </t>
  </si>
  <si>
    <t xml:space="preserve">Blue Fantasy Nascar League </t>
  </si>
  <si>
    <t>Red League</t>
  </si>
  <si>
    <t>Blue League</t>
  </si>
  <si>
    <t>White League</t>
  </si>
  <si>
    <t>A. Cindric</t>
  </si>
  <si>
    <t>Drivers</t>
  </si>
  <si>
    <t>A</t>
  </si>
  <si>
    <t>B</t>
  </si>
  <si>
    <t>R. Chastain</t>
  </si>
  <si>
    <t xml:space="preserve">T. Brown </t>
  </si>
  <si>
    <t>C Ware</t>
  </si>
  <si>
    <t>B Myers</t>
  </si>
  <si>
    <t>Hackman</t>
  </si>
  <si>
    <t>Gass</t>
  </si>
  <si>
    <t>Dustin</t>
  </si>
  <si>
    <t>Carole</t>
  </si>
  <si>
    <t>Jack-n-Bob</t>
  </si>
  <si>
    <t>Butch</t>
  </si>
  <si>
    <t>Jason</t>
  </si>
  <si>
    <t>D. Hemric</t>
  </si>
  <si>
    <t>A. Hill</t>
  </si>
  <si>
    <t>JJ Yeley</t>
  </si>
  <si>
    <t>J. Johnson</t>
  </si>
  <si>
    <t xml:space="preserve">Dehaven  </t>
  </si>
  <si>
    <t>Elliott</t>
  </si>
  <si>
    <t>Reddick</t>
  </si>
  <si>
    <t>Byron</t>
  </si>
  <si>
    <t>Bell</t>
  </si>
  <si>
    <t>Buscher</t>
  </si>
  <si>
    <t>Briscoe</t>
  </si>
  <si>
    <t>Logano</t>
  </si>
  <si>
    <t>Hamlin</t>
  </si>
  <si>
    <t>Gibbs</t>
  </si>
  <si>
    <t>Blaney</t>
  </si>
  <si>
    <t>Larson</t>
  </si>
  <si>
    <t>Derrick</t>
  </si>
  <si>
    <t>Kevin</t>
  </si>
  <si>
    <t>Rob</t>
  </si>
  <si>
    <t>Wallace</t>
  </si>
  <si>
    <t>Conner Z.</t>
  </si>
  <si>
    <t>Shenk</t>
  </si>
  <si>
    <t>Sasko</t>
  </si>
  <si>
    <t>Van Gisbergen</t>
  </si>
  <si>
    <t>Dainel Suarez</t>
  </si>
  <si>
    <t>K Legge</t>
  </si>
  <si>
    <t>S. Van Gisbergen</t>
  </si>
  <si>
    <t>C Zilisch</t>
  </si>
  <si>
    <t>Bubba</t>
  </si>
  <si>
    <t>Dani(1)</t>
  </si>
  <si>
    <t>Hosevar</t>
  </si>
  <si>
    <t>Devin  (1)</t>
  </si>
  <si>
    <t>Gehr (1)</t>
  </si>
  <si>
    <t>Kyle (1)</t>
  </si>
  <si>
    <t>Tony (1)</t>
  </si>
  <si>
    <t>Gehman (1)</t>
  </si>
  <si>
    <t>Burrey (2)</t>
  </si>
  <si>
    <t>Ray (2)</t>
  </si>
  <si>
    <t>Chastain</t>
  </si>
  <si>
    <t>Kilhefner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</si>
</sst>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u/>
      <sz val="8"/>
      <name val="Calibri"/>
      <family val="2"/>
      <scheme val="minor"/>
    </font>
    <font>
      <u/>
      <sz val="8"/>
      <color theme="0"/>
      <name val="Calibri"/>
      <family val="2"/>
      <scheme val="minor"/>
    </font>
    <font>
      <sz val="8"/>
      <name val="Arial"/>
      <family val="2"/>
    </font>
    <font>
      <b/>
      <u/>
      <sz val="8"/>
      <color theme="0"/>
      <name val="Calibri"/>
      <family val="2"/>
      <scheme val="minor"/>
    </font>
    <font>
      <sz val="8"/>
      <color rgb="FFC00000"/>
      <name val="Calibri"/>
      <family val="2"/>
      <scheme val="minor"/>
    </font>
    <font>
      <sz val="7"/>
      <color theme="0"/>
      <name val="Calibri"/>
      <family val="2"/>
      <scheme val="minor"/>
    </font>
    <font>
      <sz val="16"/>
      <color theme="1"/>
      <name val="Brush Script MT"/>
      <family val="4"/>
    </font>
    <font>
      <b/>
      <sz val="10"/>
      <color theme="0"/>
      <name val="Calibri"/>
      <family val="2"/>
      <scheme val="minor"/>
    </font>
    <font>
      <sz val="16"/>
      <color rgb="FFC00000"/>
      <name val="Brush Script MT"/>
      <family val="4"/>
    </font>
    <font>
      <b/>
      <sz val="11"/>
      <color theme="1"/>
      <name val="Calibri"/>
      <family val="2"/>
      <scheme val="minor"/>
    </font>
    <font>
      <sz val="16"/>
      <color theme="2" tint="-0.249977111117893"/>
      <name val="Brush Script MT"/>
      <family val="4"/>
    </font>
    <font>
      <sz val="16"/>
      <name val="Brush Script MT"/>
      <family val="4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3" fillId="2" borderId="0" xfId="0" applyFont="1" applyFill="1"/>
    <xf numFmtId="0" fontId="12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4" fontId="10" fillId="2" borderId="0" xfId="0" applyNumberFormat="1" applyFont="1" applyFill="1" applyAlignment="1">
      <alignment horizontal="center"/>
    </xf>
    <xf numFmtId="0" fontId="14" fillId="2" borderId="0" xfId="0" applyFont="1" applyFill="1"/>
    <xf numFmtId="0" fontId="5" fillId="2" borderId="0" xfId="0" applyFont="1" applyFill="1"/>
    <xf numFmtId="0" fontId="6" fillId="2" borderId="0" xfId="0" applyFont="1" applyFill="1"/>
    <xf numFmtId="164" fontId="10" fillId="2" borderId="0" xfId="0" applyNumberFormat="1" applyFont="1" applyFill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8" fillId="2" borderId="0" xfId="0" applyFont="1" applyFill="1"/>
    <xf numFmtId="0" fontId="13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11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wrapText="1"/>
    </xf>
    <xf numFmtId="0" fontId="16" fillId="2" borderId="5" xfId="0" applyFont="1" applyFill="1" applyBorder="1" applyAlignment="1">
      <alignment horizontal="center" wrapText="1"/>
    </xf>
    <xf numFmtId="0" fontId="10" fillId="2" borderId="11" xfId="0" applyFont="1" applyFill="1" applyBorder="1" applyAlignment="1">
      <alignment horizontal="center" wrapText="1"/>
    </xf>
    <xf numFmtId="0" fontId="16" fillId="2" borderId="11" xfId="0" applyFont="1" applyFill="1" applyBorder="1" applyAlignment="1">
      <alignment horizontal="center" wrapText="1"/>
    </xf>
    <xf numFmtId="0" fontId="10" fillId="2" borderId="2" xfId="0" applyFont="1" applyFill="1" applyBorder="1"/>
    <xf numFmtId="0" fontId="10" fillId="2" borderId="11" xfId="0" applyFont="1" applyFill="1" applyBorder="1"/>
    <xf numFmtId="0" fontId="16" fillId="2" borderId="2" xfId="0" applyFont="1" applyFill="1" applyBorder="1" applyAlignment="1">
      <alignment horizontal="center" wrapText="1"/>
    </xf>
    <xf numFmtId="0" fontId="10" fillId="2" borderId="5" xfId="0" applyFont="1" applyFill="1" applyBorder="1"/>
    <xf numFmtId="0" fontId="5" fillId="2" borderId="5" xfId="0" applyFont="1" applyFill="1" applyBorder="1"/>
    <xf numFmtId="0" fontId="16" fillId="2" borderId="13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wrapText="1"/>
    </xf>
    <xf numFmtId="0" fontId="16" fillId="2" borderId="17" xfId="0" applyFont="1" applyFill="1" applyBorder="1" applyAlignment="1">
      <alignment horizontal="center" wrapText="1"/>
    </xf>
    <xf numFmtId="0" fontId="11" fillId="2" borderId="22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0" fillId="2" borderId="22" xfId="0" applyFont="1" applyFill="1" applyBorder="1"/>
    <xf numFmtId="0" fontId="10" fillId="2" borderId="23" xfId="0" applyFont="1" applyFill="1" applyBorder="1"/>
    <xf numFmtId="0" fontId="5" fillId="2" borderId="22" xfId="0" applyFont="1" applyFill="1" applyBorder="1"/>
    <xf numFmtId="0" fontId="10" fillId="2" borderId="24" xfId="0" applyFont="1" applyFill="1" applyBorder="1"/>
    <xf numFmtId="0" fontId="16" fillId="2" borderId="27" xfId="0" applyFont="1" applyFill="1" applyBorder="1" applyAlignment="1">
      <alignment horizontal="center" wrapText="1"/>
    </xf>
    <xf numFmtId="0" fontId="16" fillId="2" borderId="28" xfId="0" applyFont="1" applyFill="1" applyBorder="1" applyAlignment="1">
      <alignment horizontal="center" wrapText="1"/>
    </xf>
    <xf numFmtId="0" fontId="16" fillId="2" borderId="29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vertical="center" textRotation="90" wrapText="1"/>
    </xf>
    <xf numFmtId="0" fontId="18" fillId="2" borderId="0" xfId="0" applyFont="1" applyFill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5" fillId="2" borderId="22" xfId="0" applyFont="1" applyFill="1" applyBorder="1" applyAlignment="1">
      <alignment horizontal="center"/>
    </xf>
    <xf numFmtId="0" fontId="0" fillId="0" borderId="32" xfId="0" applyBorder="1"/>
    <xf numFmtId="0" fontId="21" fillId="0" borderId="3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5" xfId="0" applyBorder="1"/>
    <xf numFmtId="0" fontId="2" fillId="0" borderId="0" xfId="0" applyFont="1"/>
    <xf numFmtId="0" fontId="2" fillId="0" borderId="35" xfId="0" applyFont="1" applyBorder="1"/>
    <xf numFmtId="0" fontId="2" fillId="0" borderId="34" xfId="0" applyFont="1" applyBorder="1"/>
    <xf numFmtId="0" fontId="0" fillId="0" borderId="35" xfId="0" applyBorder="1" applyAlignment="1">
      <alignment vertical="center"/>
    </xf>
    <xf numFmtId="0" fontId="2" fillId="0" borderId="33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2" fillId="0" borderId="3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1" fillId="4" borderId="32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/>
    </xf>
    <xf numFmtId="0" fontId="26" fillId="5" borderId="5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18" xfId="0" applyFont="1" applyFill="1" applyBorder="1" applyAlignment="1">
      <alignment horizontal="center" vertical="center" textRotation="90"/>
    </xf>
    <xf numFmtId="0" fontId="9" fillId="3" borderId="19" xfId="0" applyFont="1" applyFill="1" applyBorder="1" applyAlignment="1">
      <alignment horizontal="center" vertical="center" textRotation="90"/>
    </xf>
    <xf numFmtId="0" fontId="19" fillId="3" borderId="16" xfId="0" applyFont="1" applyFill="1" applyBorder="1" applyAlignment="1">
      <alignment horizontal="center" vertical="center" textRotation="68"/>
    </xf>
    <xf numFmtId="0" fontId="19" fillId="3" borderId="2" xfId="0" applyFont="1" applyFill="1" applyBorder="1" applyAlignment="1">
      <alignment horizontal="center" vertical="center" textRotation="68"/>
    </xf>
    <xf numFmtId="0" fontId="19" fillId="3" borderId="10" xfId="0" applyFont="1" applyFill="1" applyBorder="1" applyAlignment="1">
      <alignment horizontal="center" vertical="center" textRotation="68"/>
    </xf>
    <xf numFmtId="0" fontId="19" fillId="3" borderId="5" xfId="0" applyFont="1" applyFill="1" applyBorder="1" applyAlignment="1">
      <alignment horizontal="center" vertical="center" textRotation="68"/>
    </xf>
    <xf numFmtId="0" fontId="19" fillId="3" borderId="14" xfId="0" applyFont="1" applyFill="1" applyBorder="1" applyAlignment="1">
      <alignment horizontal="center" vertical="center" textRotation="68"/>
    </xf>
    <xf numFmtId="0" fontId="19" fillId="3" borderId="11" xfId="0" applyFont="1" applyFill="1" applyBorder="1" applyAlignment="1">
      <alignment horizontal="center" vertical="center" textRotation="68"/>
    </xf>
    <xf numFmtId="0" fontId="0" fillId="0" borderId="0" xfId="0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5" fontId="7" fillId="3" borderId="18" xfId="0" applyNumberFormat="1" applyFont="1" applyFill="1" applyBorder="1" applyAlignment="1">
      <alignment horizontal="center"/>
    </xf>
    <xf numFmtId="165" fontId="2" fillId="3" borderId="19" xfId="0" applyNumberFormat="1" applyFont="1" applyFill="1" applyBorder="1" applyAlignment="1">
      <alignment horizontal="center"/>
    </xf>
    <xf numFmtId="165" fontId="2" fillId="3" borderId="30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wrapText="1"/>
    </xf>
    <xf numFmtId="0" fontId="7" fillId="3" borderId="30" xfId="0" applyFont="1" applyFill="1" applyBorder="1" applyAlignment="1">
      <alignment horizontal="center"/>
    </xf>
    <xf numFmtId="164" fontId="14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 vertical="center" textRotation="90"/>
    </xf>
    <xf numFmtId="0" fontId="8" fillId="3" borderId="9" xfId="0" applyFont="1" applyFill="1" applyBorder="1" applyAlignment="1">
      <alignment horizontal="left" vertical="center" textRotation="90"/>
    </xf>
    <xf numFmtId="0" fontId="9" fillId="3" borderId="6" xfId="0" applyFont="1" applyFill="1" applyBorder="1" applyAlignment="1">
      <alignment vertical="center" textRotation="90"/>
    </xf>
    <xf numFmtId="0" fontId="9" fillId="3" borderId="7" xfId="0" applyFont="1" applyFill="1" applyBorder="1" applyAlignment="1">
      <alignment vertical="center" textRotation="90"/>
    </xf>
    <xf numFmtId="0" fontId="19" fillId="3" borderId="13" xfId="0" applyFont="1" applyFill="1" applyBorder="1" applyAlignment="1">
      <alignment horizontal="center" vertical="center" textRotation="68"/>
    </xf>
    <xf numFmtId="0" fontId="19" fillId="3" borderId="12" xfId="0" applyFont="1" applyFill="1" applyBorder="1" applyAlignment="1">
      <alignment horizontal="center" vertical="center" textRotation="68"/>
    </xf>
    <xf numFmtId="0" fontId="11" fillId="2" borderId="0" xfId="0" applyFont="1" applyFill="1" applyAlignment="1">
      <alignment horizontal="left" textRotation="90"/>
    </xf>
    <xf numFmtId="0" fontId="0" fillId="0" borderId="0" xfId="0" applyAlignment="1">
      <alignment horizontal="left" textRotation="90"/>
    </xf>
    <xf numFmtId="0" fontId="7" fillId="3" borderId="15" xfId="0" applyFont="1" applyFill="1" applyBorder="1" applyAlignment="1">
      <alignment horizontal="center" vertical="center" textRotation="90"/>
    </xf>
    <xf numFmtId="0" fontId="9" fillId="3" borderId="15" xfId="0" applyFont="1" applyFill="1" applyBorder="1" applyAlignment="1">
      <alignment horizontal="center" vertical="center" textRotation="90"/>
    </xf>
    <xf numFmtId="0" fontId="7" fillId="3" borderId="21" xfId="0" applyFont="1" applyFill="1" applyBorder="1" applyAlignment="1">
      <alignment horizontal="center" vertical="center" textRotation="90"/>
    </xf>
    <xf numFmtId="0" fontId="9" fillId="3" borderId="26" xfId="0" applyFont="1" applyFill="1" applyBorder="1" applyAlignment="1">
      <alignment horizontal="center" vertical="center" textRotation="90"/>
    </xf>
    <xf numFmtId="0" fontId="0" fillId="0" borderId="0" xfId="0" applyAlignment="1">
      <alignment textRotation="90"/>
    </xf>
    <xf numFmtId="0" fontId="19" fillId="3" borderId="17" xfId="0" applyFont="1" applyFill="1" applyBorder="1" applyAlignment="1">
      <alignment horizontal="center" vertical="center" textRotation="68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7" fillId="3" borderId="31" xfId="0" applyFont="1" applyFill="1" applyBorder="1" applyAlignment="1">
      <alignment horizontal="center" vertical="center" textRotation="90"/>
    </xf>
    <xf numFmtId="0" fontId="17" fillId="3" borderId="9" xfId="0" applyFont="1" applyFill="1" applyBorder="1" applyAlignment="1">
      <alignment horizontal="center" vertical="center" textRotation="90" wrapText="1"/>
    </xf>
    <xf numFmtId="0" fontId="17" fillId="3" borderId="6" xfId="0" applyFont="1" applyFill="1" applyBorder="1" applyAlignment="1">
      <alignment horizontal="center" vertical="center" textRotation="90" wrapText="1"/>
    </xf>
    <xf numFmtId="0" fontId="17" fillId="3" borderId="7" xfId="0" applyFont="1" applyFill="1" applyBorder="1" applyAlignment="1">
      <alignment horizontal="center" vertical="center" textRotation="90" wrapText="1"/>
    </xf>
    <xf numFmtId="0" fontId="17" fillId="3" borderId="18" xfId="0" applyFont="1" applyFill="1" applyBorder="1" applyAlignment="1">
      <alignment horizontal="center" vertical="center" textRotation="90" wrapText="1"/>
    </xf>
    <xf numFmtId="0" fontId="17" fillId="3" borderId="19" xfId="0" applyFont="1" applyFill="1" applyBorder="1" applyAlignment="1">
      <alignment horizontal="center" vertical="center" textRotation="90" wrapText="1"/>
    </xf>
    <xf numFmtId="0" fontId="17" fillId="3" borderId="20" xfId="0" applyFont="1" applyFill="1" applyBorder="1" applyAlignment="1">
      <alignment horizontal="center" vertical="center" textRotation="90" wrapText="1"/>
    </xf>
    <xf numFmtId="0" fontId="17" fillId="3" borderId="1" xfId="0" applyFont="1" applyFill="1" applyBorder="1" applyAlignment="1">
      <alignment horizontal="center" vertical="center" textRotation="90" wrapText="1"/>
    </xf>
    <xf numFmtId="0" fontId="17" fillId="3" borderId="3" xfId="0" applyFont="1" applyFill="1" applyBorder="1" applyAlignment="1">
      <alignment horizontal="center" vertical="center" textRotation="90" wrapText="1"/>
    </xf>
    <xf numFmtId="0" fontId="17" fillId="3" borderId="8" xfId="0" applyFont="1" applyFill="1" applyBorder="1" applyAlignment="1">
      <alignment horizontal="center" vertical="center" textRotation="90" wrapText="1"/>
    </xf>
    <xf numFmtId="0" fontId="22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Red League Leader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Leader Board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'Red Fantasy Standings'!$A$6:$A$35</c:f>
              <c:strCache>
                <c:ptCount val="28"/>
                <c:pt idx="0">
                  <c:v>Dehaven  </c:v>
                </c:pt>
                <c:pt idx="3">
                  <c:v>Gehman (1)</c:v>
                </c:pt>
                <c:pt idx="6">
                  <c:v>Hackman</c:v>
                </c:pt>
                <c:pt idx="9">
                  <c:v>Tony (1)</c:v>
                </c:pt>
                <c:pt idx="12">
                  <c:v>Gass</c:v>
                </c:pt>
                <c:pt idx="15">
                  <c:v>Kilhefner (3)</c:v>
                </c:pt>
                <c:pt idx="18">
                  <c:v>Dani(1)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'Red Fantasy Standings'!$AM$6:$AM$35</c:f>
              <c:numCache>
                <c:formatCode>General</c:formatCode>
                <c:ptCount val="30"/>
                <c:pt idx="0">
                  <c:v>1367</c:v>
                </c:pt>
                <c:pt idx="3">
                  <c:v>949</c:v>
                </c:pt>
                <c:pt idx="6">
                  <c:v>1111</c:v>
                </c:pt>
                <c:pt idx="9">
                  <c:v>996</c:v>
                </c:pt>
                <c:pt idx="12">
                  <c:v>1452</c:v>
                </c:pt>
                <c:pt idx="15">
                  <c:v>1025</c:v>
                </c:pt>
                <c:pt idx="18">
                  <c:v>983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8B-4914-A529-EF3AB8207A2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</a:t>
            </a:r>
            <a:r>
              <a:rPr lang="en-US" baseline="0"/>
              <a:t> White League Leaderboard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41645755818981E-2"/>
          <c:y val="9.3471457190764662E-2"/>
          <c:w val="0.89340047878630557"/>
          <c:h val="0.8842725994607274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'White Fantasy Standings'!$A$6:$A$35</c:f>
              <c:strCache>
                <c:ptCount val="28"/>
                <c:pt idx="0">
                  <c:v>Dustin</c:v>
                </c:pt>
                <c:pt idx="3">
                  <c:v>Derrick</c:v>
                </c:pt>
                <c:pt idx="6">
                  <c:v>Kevin</c:v>
                </c:pt>
                <c:pt idx="9">
                  <c:v>Gehr (1)</c:v>
                </c:pt>
                <c:pt idx="12">
                  <c:v>Devin  (1)</c:v>
                </c:pt>
                <c:pt idx="15">
                  <c:v>Jack-n-Bob</c:v>
                </c:pt>
                <c:pt idx="18">
                  <c:v>Ray (2)</c:v>
                </c:pt>
                <c:pt idx="21">
                  <c:v>Rob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'White Fantasy Standings'!$AM$6:$AM$35</c:f>
              <c:numCache>
                <c:formatCode>General</c:formatCode>
                <c:ptCount val="30"/>
                <c:pt idx="0">
                  <c:v>969</c:v>
                </c:pt>
                <c:pt idx="3">
                  <c:v>1111</c:v>
                </c:pt>
                <c:pt idx="6">
                  <c:v>1061</c:v>
                </c:pt>
                <c:pt idx="9">
                  <c:v>1165</c:v>
                </c:pt>
                <c:pt idx="12">
                  <c:v>1292</c:v>
                </c:pt>
                <c:pt idx="15">
                  <c:v>653</c:v>
                </c:pt>
                <c:pt idx="18">
                  <c:v>1143</c:v>
                </c:pt>
                <c:pt idx="21">
                  <c:v>1367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7-4872-AA6A-333326E885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Blue</a:t>
            </a:r>
            <a:r>
              <a:rPr lang="en-US" baseline="0"/>
              <a:t> League Leader Board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70159499293359E-2"/>
          <c:y val="0.12781650396887034"/>
          <c:w val="0.91597196504283118"/>
          <c:h val="0.7609037792885904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'Blue Fantasy Standings'!$A$6:$A$35</c:f>
              <c:strCache>
                <c:ptCount val="28"/>
                <c:pt idx="0">
                  <c:v>Carole</c:v>
                </c:pt>
                <c:pt idx="3">
                  <c:v>Butch</c:v>
                </c:pt>
                <c:pt idx="6">
                  <c:v>Jason</c:v>
                </c:pt>
                <c:pt idx="9">
                  <c:v>Shenk</c:v>
                </c:pt>
                <c:pt idx="12">
                  <c:v>Sasko</c:v>
                </c:pt>
                <c:pt idx="15">
                  <c:v>Kyle (1)</c:v>
                </c:pt>
                <c:pt idx="18">
                  <c:v>Burrey (2)</c:v>
                </c:pt>
                <c:pt idx="21">
                  <c:v>8</c:v>
                </c:pt>
                <c:pt idx="24">
                  <c:v>9</c:v>
                </c:pt>
                <c:pt idx="27">
                  <c:v>10</c:v>
                </c:pt>
              </c:strCache>
            </c:strRef>
          </c:cat>
          <c:val>
            <c:numRef>
              <c:f>'Blue Fantasy Standings'!$AM$6:$AM$35</c:f>
              <c:numCache>
                <c:formatCode>General</c:formatCode>
                <c:ptCount val="30"/>
                <c:pt idx="0">
                  <c:v>1367</c:v>
                </c:pt>
                <c:pt idx="3">
                  <c:v>1004</c:v>
                </c:pt>
                <c:pt idx="6">
                  <c:v>1136</c:v>
                </c:pt>
                <c:pt idx="9">
                  <c:v>1217</c:v>
                </c:pt>
                <c:pt idx="12">
                  <c:v>761</c:v>
                </c:pt>
                <c:pt idx="15">
                  <c:v>1048</c:v>
                </c:pt>
                <c:pt idx="18">
                  <c:v>1155</c:v>
                </c:pt>
                <c:pt idx="21">
                  <c:v>0</c:v>
                </c:pt>
                <c:pt idx="24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E-465E-BF69-B5518D185C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0540800"/>
        <c:axId val="80542336"/>
      </c:barChart>
      <c:catAx>
        <c:axId val="8054080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2336"/>
        <c:crosses val="autoZero"/>
        <c:auto val="1"/>
        <c:lblAlgn val="ctr"/>
        <c:lblOffset val="100"/>
        <c:noMultiLvlLbl val="0"/>
      </c:catAx>
      <c:valAx>
        <c:axId val="80542336"/>
        <c:scaling>
          <c:orientation val="minMax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090A174-53EE-4EF2-998B-DDD88A222F4F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596E20-586B-496B-BA83-106D447E3789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74FF8-E2E4-F9C2-EC30-A47817B511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F7A85-0617-D555-3A47-FD2688F76AB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8A645-C1A2-4566-BBC8-4FF9629B0E92}">
  <dimension ref="A1:AU52"/>
  <sheetViews>
    <sheetView tabSelected="1" zoomScale="81" zoomScaleNormal="81" workbookViewId="0">
      <selection activeCell="V28" sqref="V28"/>
    </sheetView>
  </sheetViews>
  <sheetFormatPr defaultRowHeight="14.5" x14ac:dyDescent="0.35"/>
  <cols>
    <col min="1" max="1" width="4.7265625" customWidth="1"/>
    <col min="2" max="2" width="16.26953125" customWidth="1"/>
    <col min="3" max="38" width="4.7265625" customWidth="1"/>
    <col min="41" max="41" width="10.26953125" customWidth="1"/>
    <col min="42" max="42" width="2.7265625" customWidth="1"/>
    <col min="45" max="45" width="2.7265625" customWidth="1"/>
  </cols>
  <sheetData>
    <row r="1" spans="1:47" x14ac:dyDescent="0.35">
      <c r="A1" s="89" t="s">
        <v>42</v>
      </c>
      <c r="B1" s="89" t="s">
        <v>17</v>
      </c>
      <c r="C1" s="93" t="s">
        <v>31</v>
      </c>
      <c r="D1" s="95" t="s">
        <v>32</v>
      </c>
      <c r="E1" s="93" t="s">
        <v>33</v>
      </c>
      <c r="F1" s="95" t="s">
        <v>34</v>
      </c>
      <c r="G1" s="93" t="s">
        <v>35</v>
      </c>
      <c r="H1" s="95" t="s">
        <v>36</v>
      </c>
      <c r="I1" s="93" t="s">
        <v>37</v>
      </c>
      <c r="J1" s="95" t="s">
        <v>38</v>
      </c>
      <c r="K1" s="93" t="s">
        <v>39</v>
      </c>
      <c r="L1" s="95" t="s">
        <v>0</v>
      </c>
      <c r="M1" s="93" t="s">
        <v>1</v>
      </c>
      <c r="N1" s="93" t="s">
        <v>2</v>
      </c>
      <c r="O1" s="93" t="s">
        <v>3</v>
      </c>
      <c r="P1" s="93" t="s">
        <v>4</v>
      </c>
      <c r="Q1" s="93" t="s">
        <v>5</v>
      </c>
      <c r="R1" s="93" t="s">
        <v>6</v>
      </c>
      <c r="S1" s="93" t="s">
        <v>7</v>
      </c>
      <c r="T1" s="93" t="s">
        <v>8</v>
      </c>
      <c r="U1" s="93" t="s">
        <v>9</v>
      </c>
      <c r="V1" s="93" t="s">
        <v>10</v>
      </c>
      <c r="W1" s="93" t="s">
        <v>11</v>
      </c>
      <c r="X1" s="93" t="s">
        <v>12</v>
      </c>
      <c r="Y1" s="93" t="s">
        <v>13</v>
      </c>
      <c r="Z1" s="93" t="s">
        <v>14</v>
      </c>
      <c r="AA1" s="93" t="s">
        <v>15</v>
      </c>
      <c r="AB1" s="93" t="s">
        <v>16</v>
      </c>
      <c r="AC1" s="95" t="s">
        <v>19</v>
      </c>
      <c r="AD1" s="93" t="s">
        <v>20</v>
      </c>
      <c r="AE1" s="93" t="s">
        <v>21</v>
      </c>
      <c r="AF1" s="93" t="s">
        <v>22</v>
      </c>
      <c r="AG1" s="93" t="s">
        <v>23</v>
      </c>
      <c r="AH1" s="93" t="s">
        <v>24</v>
      </c>
      <c r="AI1" s="93" t="s">
        <v>25</v>
      </c>
      <c r="AJ1" s="93" t="s">
        <v>26</v>
      </c>
      <c r="AK1" s="93" t="s">
        <v>27</v>
      </c>
      <c r="AL1" s="91" t="s">
        <v>28</v>
      </c>
      <c r="AM1" s="91" t="s">
        <v>73</v>
      </c>
    </row>
    <row r="2" spans="1:47" x14ac:dyDescent="0.35">
      <c r="A2" s="90"/>
      <c r="B2" s="90"/>
      <c r="C2" s="94"/>
      <c r="D2" s="96"/>
      <c r="E2" s="94"/>
      <c r="F2" s="96"/>
      <c r="G2" s="94"/>
      <c r="H2" s="96"/>
      <c r="I2" s="94"/>
      <c r="J2" s="96"/>
      <c r="K2" s="94"/>
      <c r="L2" s="96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6"/>
      <c r="AD2" s="94"/>
      <c r="AE2" s="94"/>
      <c r="AF2" s="94"/>
      <c r="AG2" s="94"/>
      <c r="AH2" s="94"/>
      <c r="AI2" s="94"/>
      <c r="AJ2" s="94"/>
      <c r="AK2" s="94"/>
      <c r="AL2" s="92"/>
      <c r="AM2" s="92"/>
      <c r="AN2" s="97" t="s">
        <v>76</v>
      </c>
      <c r="AO2" s="97"/>
      <c r="AP2" s="63"/>
      <c r="AQ2" s="97" t="s">
        <v>78</v>
      </c>
      <c r="AR2" s="97"/>
      <c r="AS2" s="63"/>
      <c r="AT2" s="97" t="s">
        <v>77</v>
      </c>
      <c r="AU2" s="97"/>
    </row>
    <row r="3" spans="1:47" x14ac:dyDescent="0.35">
      <c r="A3" s="90"/>
      <c r="B3" s="90"/>
      <c r="C3" s="94"/>
      <c r="D3" s="96"/>
      <c r="E3" s="94"/>
      <c r="F3" s="96"/>
      <c r="G3" s="94"/>
      <c r="H3" s="96"/>
      <c r="I3" s="94"/>
      <c r="J3" s="96"/>
      <c r="K3" s="94"/>
      <c r="L3" s="96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6"/>
      <c r="AD3" s="94"/>
      <c r="AE3" s="94"/>
      <c r="AF3" s="94"/>
      <c r="AG3" s="94"/>
      <c r="AH3" s="94"/>
      <c r="AI3" s="94"/>
      <c r="AJ3" s="94"/>
      <c r="AK3" s="94"/>
      <c r="AL3" s="92"/>
      <c r="AM3" s="92"/>
      <c r="AN3" t="s">
        <v>18</v>
      </c>
      <c r="AO3" t="s">
        <v>80</v>
      </c>
      <c r="AQ3" t="s">
        <v>18</v>
      </c>
      <c r="AR3" t="s">
        <v>80</v>
      </c>
      <c r="AT3" t="s">
        <v>18</v>
      </c>
      <c r="AU3" t="s">
        <v>80</v>
      </c>
    </row>
    <row r="4" spans="1:47" ht="14.5" customHeight="1" x14ac:dyDescent="0.35">
      <c r="A4" s="75">
        <v>1</v>
      </c>
      <c r="B4" s="76" t="s">
        <v>83</v>
      </c>
      <c r="C4" s="61">
        <v>17</v>
      </c>
      <c r="D4" s="61">
        <v>34</v>
      </c>
      <c r="E4" s="61">
        <v>13</v>
      </c>
      <c r="F4" s="61">
        <v>10</v>
      </c>
      <c r="G4" s="61">
        <v>20</v>
      </c>
      <c r="H4" s="61">
        <v>21</v>
      </c>
      <c r="I4" s="61">
        <v>21</v>
      </c>
      <c r="J4" s="61">
        <v>17</v>
      </c>
      <c r="K4" s="61">
        <v>11</v>
      </c>
      <c r="L4" s="61">
        <v>41</v>
      </c>
      <c r="M4" s="61">
        <v>11</v>
      </c>
      <c r="N4" s="61">
        <v>20</v>
      </c>
      <c r="O4" s="61">
        <v>2</v>
      </c>
      <c r="P4" s="61">
        <v>1</v>
      </c>
      <c r="Q4" s="61">
        <v>21</v>
      </c>
      <c r="R4" s="61">
        <v>34</v>
      </c>
      <c r="S4" s="61">
        <v>33</v>
      </c>
      <c r="T4" s="61">
        <v>29</v>
      </c>
      <c r="U4" s="61">
        <v>19</v>
      </c>
      <c r="V4" s="61">
        <v>26</v>
      </c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>
        <f>SUM(C4:AL4)</f>
        <v>401</v>
      </c>
      <c r="AN4" s="98" t="s">
        <v>98</v>
      </c>
      <c r="AO4" s="71" t="s">
        <v>99</v>
      </c>
      <c r="AQ4" s="98" t="s">
        <v>89</v>
      </c>
      <c r="AR4" s="71" t="s">
        <v>104</v>
      </c>
      <c r="AS4" s="65"/>
      <c r="AT4" s="98" t="s">
        <v>90</v>
      </c>
      <c r="AU4" s="71" t="s">
        <v>99</v>
      </c>
    </row>
    <row r="5" spans="1:47" ht="14.5" customHeight="1" x14ac:dyDescent="0.35">
      <c r="A5" s="75">
        <v>2</v>
      </c>
      <c r="B5" s="76" t="s">
        <v>79</v>
      </c>
      <c r="C5" s="61">
        <v>12</v>
      </c>
      <c r="D5" s="61">
        <v>21</v>
      </c>
      <c r="E5" s="61">
        <v>5</v>
      </c>
      <c r="F5" s="61">
        <v>13</v>
      </c>
      <c r="G5" s="61">
        <v>19</v>
      </c>
      <c r="H5" s="61">
        <v>38</v>
      </c>
      <c r="I5" s="61">
        <v>40</v>
      </c>
      <c r="J5" s="61">
        <v>23</v>
      </c>
      <c r="K5" s="61">
        <v>25</v>
      </c>
      <c r="L5" s="61">
        <v>29</v>
      </c>
      <c r="M5" s="61">
        <v>22</v>
      </c>
      <c r="N5" s="61">
        <v>39</v>
      </c>
      <c r="O5" s="61">
        <v>1</v>
      </c>
      <c r="P5" s="61">
        <v>18</v>
      </c>
      <c r="Q5" s="61">
        <v>26</v>
      </c>
      <c r="R5" s="61">
        <v>23</v>
      </c>
      <c r="S5" s="61">
        <v>15</v>
      </c>
      <c r="T5" s="61">
        <v>31</v>
      </c>
      <c r="U5" s="61">
        <v>33</v>
      </c>
      <c r="V5" s="61">
        <v>36</v>
      </c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>
        <f t="shared" ref="AM5:AM46" si="0">SUM(C5:AL5)</f>
        <v>469</v>
      </c>
      <c r="AN5" s="98"/>
      <c r="AO5" s="71" t="s">
        <v>100</v>
      </c>
      <c r="AQ5" s="98"/>
      <c r="AR5" s="71" t="s">
        <v>105</v>
      </c>
      <c r="AS5" s="65"/>
      <c r="AT5" s="98"/>
      <c r="AU5" s="71" t="s">
        <v>100</v>
      </c>
    </row>
    <row r="6" spans="1:47" ht="14.5" customHeight="1" x14ac:dyDescent="0.35">
      <c r="A6" s="75">
        <v>3</v>
      </c>
      <c r="B6" s="77" t="s">
        <v>59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>
        <f t="shared" si="0"/>
        <v>0</v>
      </c>
      <c r="AN6" s="68"/>
      <c r="AO6" s="64"/>
      <c r="AQ6" s="66"/>
      <c r="AR6" s="72"/>
      <c r="AS6" s="65"/>
      <c r="AT6" s="66"/>
      <c r="AU6" s="72"/>
    </row>
    <row r="7" spans="1:47" ht="14.5" customHeight="1" x14ac:dyDescent="0.35">
      <c r="A7" s="75">
        <v>4</v>
      </c>
      <c r="B7" s="77" t="s">
        <v>62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>
        <f t="shared" si="0"/>
        <v>0</v>
      </c>
      <c r="AN7" s="99" t="s">
        <v>129</v>
      </c>
      <c r="AO7" s="71" t="s">
        <v>101</v>
      </c>
      <c r="AQ7" s="98" t="s">
        <v>110</v>
      </c>
      <c r="AR7" s="71" t="s">
        <v>102</v>
      </c>
      <c r="AS7" s="65"/>
      <c r="AT7" s="98" t="s">
        <v>92</v>
      </c>
      <c r="AU7" s="71" t="s">
        <v>104</v>
      </c>
    </row>
    <row r="8" spans="1:47" ht="14.5" customHeight="1" x14ac:dyDescent="0.35">
      <c r="A8" s="75">
        <v>5</v>
      </c>
      <c r="B8" s="76" t="s">
        <v>50</v>
      </c>
      <c r="C8" s="61">
        <v>21</v>
      </c>
      <c r="D8" s="61">
        <v>13</v>
      </c>
      <c r="E8" s="61">
        <v>31</v>
      </c>
      <c r="F8" s="61">
        <v>36</v>
      </c>
      <c r="G8" s="61">
        <v>48</v>
      </c>
      <c r="H8" s="61">
        <v>19</v>
      </c>
      <c r="I8" s="61">
        <v>30</v>
      </c>
      <c r="J8" s="61">
        <v>54</v>
      </c>
      <c r="K8" s="61">
        <v>54</v>
      </c>
      <c r="L8" s="61">
        <v>1</v>
      </c>
      <c r="M8" s="61">
        <v>3</v>
      </c>
      <c r="N8" s="61">
        <v>14</v>
      </c>
      <c r="O8" s="61">
        <v>54</v>
      </c>
      <c r="P8" s="61">
        <v>23</v>
      </c>
      <c r="Q8" s="61">
        <v>44</v>
      </c>
      <c r="R8" s="61">
        <v>24</v>
      </c>
      <c r="S8" s="61">
        <v>42</v>
      </c>
      <c r="T8" s="61">
        <v>35</v>
      </c>
      <c r="U8" s="61">
        <v>12</v>
      </c>
      <c r="V8" s="61">
        <v>11</v>
      </c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>
        <f t="shared" si="0"/>
        <v>569</v>
      </c>
      <c r="AN8" s="100"/>
      <c r="AO8" s="71" t="s">
        <v>105</v>
      </c>
      <c r="AQ8" s="98"/>
      <c r="AR8" s="71" t="s">
        <v>103</v>
      </c>
      <c r="AS8" s="65"/>
      <c r="AT8" s="98"/>
      <c r="AU8" s="71" t="s">
        <v>117</v>
      </c>
    </row>
    <row r="9" spans="1:47" ht="14.5" customHeight="1" x14ac:dyDescent="0.35">
      <c r="A9" s="75">
        <v>6</v>
      </c>
      <c r="B9" s="76" t="s">
        <v>56</v>
      </c>
      <c r="C9" s="61"/>
      <c r="D9" s="61"/>
      <c r="E9" s="61"/>
      <c r="F9" s="61"/>
      <c r="G9" s="61"/>
      <c r="H9" s="61">
        <v>55</v>
      </c>
      <c r="I9" s="61">
        <v>24</v>
      </c>
      <c r="J9" s="61">
        <v>23</v>
      </c>
      <c r="K9" s="61">
        <v>35</v>
      </c>
      <c r="L9" s="61">
        <v>15</v>
      </c>
      <c r="M9" s="61">
        <v>32</v>
      </c>
      <c r="N9" s="61">
        <v>7</v>
      </c>
      <c r="O9" s="61">
        <v>25</v>
      </c>
      <c r="P9" s="61">
        <v>4</v>
      </c>
      <c r="Q9" s="61">
        <v>3</v>
      </c>
      <c r="R9" s="61">
        <v>1</v>
      </c>
      <c r="S9" s="61">
        <v>3</v>
      </c>
      <c r="T9" s="61">
        <v>22</v>
      </c>
      <c r="U9" s="61">
        <v>16</v>
      </c>
      <c r="V9" s="61">
        <v>11</v>
      </c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>
        <f t="shared" si="0"/>
        <v>276</v>
      </c>
      <c r="AN9" s="68"/>
      <c r="AO9" s="64"/>
      <c r="AQ9" s="66"/>
      <c r="AR9" s="72"/>
      <c r="AS9" s="65"/>
      <c r="AT9" s="66"/>
      <c r="AU9" s="72"/>
    </row>
    <row r="10" spans="1:47" ht="14.5" customHeight="1" x14ac:dyDescent="0.35">
      <c r="A10" s="75">
        <v>7</v>
      </c>
      <c r="B10" s="77" t="s">
        <v>118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>
        <f t="shared" si="0"/>
        <v>0</v>
      </c>
      <c r="AN10" s="99" t="s">
        <v>87</v>
      </c>
      <c r="AO10" s="71" t="s">
        <v>102</v>
      </c>
      <c r="AQ10" s="98" t="s">
        <v>111</v>
      </c>
      <c r="AR10" s="71" t="s">
        <v>109</v>
      </c>
      <c r="AS10" s="65"/>
      <c r="AT10" s="98" t="s">
        <v>93</v>
      </c>
      <c r="AU10" s="71" t="s">
        <v>109</v>
      </c>
    </row>
    <row r="11" spans="1:47" ht="14.5" customHeight="1" x14ac:dyDescent="0.35">
      <c r="A11" s="75">
        <v>8</v>
      </c>
      <c r="B11" s="76" t="s">
        <v>60</v>
      </c>
      <c r="C11" s="61">
        <v>29</v>
      </c>
      <c r="D11" s="61">
        <v>7</v>
      </c>
      <c r="E11" s="61">
        <v>25</v>
      </c>
      <c r="F11" s="61">
        <v>20</v>
      </c>
      <c r="G11" s="61">
        <v>9</v>
      </c>
      <c r="H11" s="61">
        <v>16</v>
      </c>
      <c r="I11" s="61">
        <v>13</v>
      </c>
      <c r="J11" s="61">
        <v>12</v>
      </c>
      <c r="K11" s="61">
        <v>2</v>
      </c>
      <c r="L11" s="61">
        <v>27</v>
      </c>
      <c r="M11" s="61">
        <v>22</v>
      </c>
      <c r="N11" s="61">
        <v>35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>
        <f t="shared" si="0"/>
        <v>217</v>
      </c>
      <c r="AN11" s="100"/>
      <c r="AO11" s="71" t="s">
        <v>103</v>
      </c>
      <c r="AQ11" s="98"/>
      <c r="AR11" s="71" t="s">
        <v>113</v>
      </c>
      <c r="AS11" s="65"/>
      <c r="AT11" s="98"/>
      <c r="AU11" s="71" t="s">
        <v>103</v>
      </c>
    </row>
    <row r="12" spans="1:47" ht="14.5" customHeight="1" x14ac:dyDescent="0.35">
      <c r="A12" s="75">
        <v>9</v>
      </c>
      <c r="B12" s="76" t="s">
        <v>49</v>
      </c>
      <c r="C12" s="61">
        <v>33</v>
      </c>
      <c r="D12" s="61">
        <v>38</v>
      </c>
      <c r="E12" s="61">
        <v>33</v>
      </c>
      <c r="F12" s="61">
        <v>14</v>
      </c>
      <c r="G12" s="61">
        <v>40</v>
      </c>
      <c r="H12" s="61">
        <v>26</v>
      </c>
      <c r="I12" s="61">
        <v>55</v>
      </c>
      <c r="J12" s="61">
        <v>15</v>
      </c>
      <c r="K12" s="61">
        <v>41</v>
      </c>
      <c r="L12" s="61">
        <v>35</v>
      </c>
      <c r="M12" s="61">
        <v>69</v>
      </c>
      <c r="N12" s="61">
        <v>13</v>
      </c>
      <c r="O12" s="61">
        <v>1</v>
      </c>
      <c r="P12" s="61">
        <v>37</v>
      </c>
      <c r="Q12" s="61">
        <v>22</v>
      </c>
      <c r="R12" s="61">
        <v>27</v>
      </c>
      <c r="S12" s="61">
        <v>25</v>
      </c>
      <c r="T12" s="61">
        <v>20</v>
      </c>
      <c r="U12" s="61">
        <v>30</v>
      </c>
      <c r="V12" s="61">
        <v>26</v>
      </c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>
        <f t="shared" si="0"/>
        <v>600</v>
      </c>
      <c r="AN12" s="68"/>
      <c r="AO12" s="64"/>
      <c r="AQ12" s="64"/>
      <c r="AR12" s="73"/>
      <c r="AT12" s="64"/>
      <c r="AU12" s="73"/>
    </row>
    <row r="13" spans="1:47" ht="14.5" customHeight="1" x14ac:dyDescent="0.35">
      <c r="A13" s="75">
        <v>10</v>
      </c>
      <c r="B13" s="77" t="s">
        <v>70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>
        <f t="shared" si="0"/>
        <v>0</v>
      </c>
      <c r="AN13" s="98" t="s">
        <v>128</v>
      </c>
      <c r="AO13" s="71" t="s">
        <v>104</v>
      </c>
      <c r="AP13" s="65"/>
      <c r="AQ13" s="98" t="s">
        <v>126</v>
      </c>
      <c r="AR13" s="71" t="s">
        <v>101</v>
      </c>
      <c r="AS13" s="65"/>
      <c r="AT13" s="98" t="s">
        <v>115</v>
      </c>
      <c r="AU13" s="71" t="s">
        <v>106</v>
      </c>
    </row>
    <row r="14" spans="1:47" ht="14.5" customHeight="1" x14ac:dyDescent="0.35">
      <c r="A14" s="75">
        <v>11</v>
      </c>
      <c r="B14" s="76" t="s">
        <v>43</v>
      </c>
      <c r="C14" s="61">
        <v>6</v>
      </c>
      <c r="D14" s="61">
        <v>24</v>
      </c>
      <c r="E14" s="61">
        <v>28</v>
      </c>
      <c r="F14" s="61">
        <v>47</v>
      </c>
      <c r="G14" s="61">
        <v>70</v>
      </c>
      <c r="H14" s="61">
        <v>26</v>
      </c>
      <c r="I14" s="61">
        <v>56</v>
      </c>
      <c r="J14" s="61">
        <v>41</v>
      </c>
      <c r="K14" s="61">
        <v>52</v>
      </c>
      <c r="L14" s="61">
        <v>22</v>
      </c>
      <c r="M14" s="61">
        <v>43</v>
      </c>
      <c r="N14" s="61">
        <v>21</v>
      </c>
      <c r="O14" s="61">
        <v>60</v>
      </c>
      <c r="P14" s="61">
        <v>62</v>
      </c>
      <c r="Q14" s="61">
        <v>58</v>
      </c>
      <c r="R14" s="61">
        <v>67</v>
      </c>
      <c r="S14" s="61">
        <v>23</v>
      </c>
      <c r="T14" s="61">
        <v>11</v>
      </c>
      <c r="U14" s="61">
        <v>45</v>
      </c>
      <c r="V14" s="61">
        <v>27</v>
      </c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>
        <f t="shared" si="0"/>
        <v>789</v>
      </c>
      <c r="AN14" s="98"/>
      <c r="AO14" s="71" t="s">
        <v>124</v>
      </c>
      <c r="AP14" s="65"/>
      <c r="AQ14" s="98"/>
      <c r="AR14" s="71" t="s">
        <v>107</v>
      </c>
      <c r="AS14" s="65"/>
      <c r="AT14" s="98"/>
      <c r="AU14" s="71" t="s">
        <v>105</v>
      </c>
    </row>
    <row r="15" spans="1:47" ht="14.5" customHeight="1" x14ac:dyDescent="0.35">
      <c r="A15" s="75">
        <v>12</v>
      </c>
      <c r="B15" s="76" t="s">
        <v>54</v>
      </c>
      <c r="C15" s="61">
        <v>27</v>
      </c>
      <c r="D15" s="61">
        <v>31</v>
      </c>
      <c r="E15" s="61">
        <v>33</v>
      </c>
      <c r="F15" s="61">
        <v>65</v>
      </c>
      <c r="G15" s="61">
        <v>23</v>
      </c>
      <c r="H15" s="61">
        <v>42</v>
      </c>
      <c r="I15" s="61">
        <v>41</v>
      </c>
      <c r="J15" s="61">
        <v>53</v>
      </c>
      <c r="K15" s="61">
        <v>13</v>
      </c>
      <c r="L15" s="61">
        <v>7</v>
      </c>
      <c r="M15" s="61">
        <v>27</v>
      </c>
      <c r="N15" s="61">
        <v>34</v>
      </c>
      <c r="O15" s="61">
        <v>41</v>
      </c>
      <c r="P15" s="61">
        <v>37</v>
      </c>
      <c r="Q15" s="61">
        <v>29</v>
      </c>
      <c r="R15" s="61">
        <v>27</v>
      </c>
      <c r="S15" s="61">
        <v>44</v>
      </c>
      <c r="T15" s="61">
        <v>32</v>
      </c>
      <c r="U15" s="61">
        <v>36</v>
      </c>
      <c r="V15" s="61">
        <v>75</v>
      </c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>
        <f t="shared" si="0"/>
        <v>717</v>
      </c>
      <c r="AN15" s="69"/>
      <c r="AO15" s="67"/>
      <c r="AP15" s="65"/>
      <c r="AQ15" s="66"/>
      <c r="AR15" s="72"/>
      <c r="AS15" s="65"/>
      <c r="AT15" s="66"/>
      <c r="AU15" s="72"/>
    </row>
    <row r="16" spans="1:47" ht="14.5" customHeight="1" x14ac:dyDescent="0.35">
      <c r="A16" s="75">
        <v>15</v>
      </c>
      <c r="B16" s="77" t="s">
        <v>84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>
        <f t="shared" si="0"/>
        <v>0</v>
      </c>
      <c r="AN16" s="98" t="s">
        <v>88</v>
      </c>
      <c r="AO16" s="71" t="s">
        <v>106</v>
      </c>
      <c r="AP16" s="65"/>
      <c r="AQ16" s="98" t="s">
        <v>125</v>
      </c>
      <c r="AR16" s="71" t="s">
        <v>106</v>
      </c>
      <c r="AS16" s="65"/>
      <c r="AT16" s="98" t="s">
        <v>116</v>
      </c>
      <c r="AU16" s="71" t="s">
        <v>102</v>
      </c>
    </row>
    <row r="17" spans="1:47" ht="14.5" customHeight="1" x14ac:dyDescent="0.35">
      <c r="A17" s="75">
        <v>16</v>
      </c>
      <c r="B17" s="77" t="s">
        <v>71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>
        <f t="shared" si="0"/>
        <v>0</v>
      </c>
      <c r="AN17" s="98"/>
      <c r="AO17" s="71" t="s">
        <v>107</v>
      </c>
      <c r="AP17" s="65"/>
      <c r="AQ17" s="98"/>
      <c r="AR17" s="71" t="s">
        <v>124</v>
      </c>
      <c r="AS17" s="65"/>
      <c r="AT17" s="98"/>
      <c r="AU17" s="71" t="s">
        <v>60</v>
      </c>
    </row>
    <row r="18" spans="1:47" ht="14.5" customHeight="1" x14ac:dyDescent="0.35">
      <c r="A18" s="75">
        <v>17</v>
      </c>
      <c r="B18" s="76" t="s">
        <v>57</v>
      </c>
      <c r="C18" s="61">
        <v>39</v>
      </c>
      <c r="D18" s="61">
        <v>22</v>
      </c>
      <c r="E18" s="61">
        <v>19</v>
      </c>
      <c r="F18" s="61">
        <v>30</v>
      </c>
      <c r="G18" s="61">
        <v>35</v>
      </c>
      <c r="H18" s="61">
        <v>42</v>
      </c>
      <c r="I18" s="61">
        <v>18</v>
      </c>
      <c r="J18" s="61">
        <v>24</v>
      </c>
      <c r="K18" s="61">
        <v>29</v>
      </c>
      <c r="L18" s="61">
        <v>50</v>
      </c>
      <c r="M18" s="61">
        <v>36</v>
      </c>
      <c r="N18" s="61">
        <v>30</v>
      </c>
      <c r="O18" s="61">
        <v>10</v>
      </c>
      <c r="P18" s="61">
        <v>8</v>
      </c>
      <c r="Q18" s="61">
        <v>31</v>
      </c>
      <c r="R18" s="61">
        <v>37</v>
      </c>
      <c r="S18" s="61">
        <v>39</v>
      </c>
      <c r="T18" s="61">
        <v>18</v>
      </c>
      <c r="U18" s="61">
        <v>23</v>
      </c>
      <c r="V18" s="61">
        <v>27</v>
      </c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>
        <f t="shared" si="0"/>
        <v>567</v>
      </c>
      <c r="AN18" s="70"/>
      <c r="AO18" s="66"/>
      <c r="AP18" s="65"/>
      <c r="AQ18" s="66"/>
      <c r="AR18" s="72"/>
      <c r="AS18" s="65"/>
      <c r="AT18" s="66"/>
      <c r="AU18" s="72"/>
    </row>
    <row r="19" spans="1:47" ht="14.5" customHeight="1" x14ac:dyDescent="0.35">
      <c r="A19" s="75">
        <v>19</v>
      </c>
      <c r="B19" s="76" t="s">
        <v>44</v>
      </c>
      <c r="C19" s="61">
        <v>1</v>
      </c>
      <c r="D19" s="61">
        <v>43</v>
      </c>
      <c r="E19" s="61">
        <v>1</v>
      </c>
      <c r="F19" s="61">
        <v>1</v>
      </c>
      <c r="G19" s="61">
        <v>29</v>
      </c>
      <c r="H19" s="61">
        <v>32</v>
      </c>
      <c r="I19" s="61">
        <v>23</v>
      </c>
      <c r="J19" s="61">
        <v>45</v>
      </c>
      <c r="K19" s="61">
        <v>38</v>
      </c>
      <c r="L19" s="61">
        <v>8</v>
      </c>
      <c r="M19" s="61">
        <v>20</v>
      </c>
      <c r="N19" s="61">
        <v>35</v>
      </c>
      <c r="O19" s="61">
        <v>27</v>
      </c>
      <c r="P19" s="61">
        <v>39</v>
      </c>
      <c r="Q19" s="61">
        <v>27</v>
      </c>
      <c r="R19" s="61">
        <v>41</v>
      </c>
      <c r="S19" s="61">
        <v>20</v>
      </c>
      <c r="T19" s="61">
        <v>37</v>
      </c>
      <c r="U19" s="61">
        <v>70</v>
      </c>
      <c r="V19" s="61">
        <v>4</v>
      </c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>
        <f t="shared" si="0"/>
        <v>541</v>
      </c>
      <c r="AN19" s="98" t="s">
        <v>133</v>
      </c>
      <c r="AO19" s="71" t="s">
        <v>108</v>
      </c>
      <c r="AP19" s="65"/>
      <c r="AQ19" s="98" t="s">
        <v>91</v>
      </c>
      <c r="AR19" s="71" t="s">
        <v>114</v>
      </c>
      <c r="AS19" s="65"/>
      <c r="AT19" s="98" t="s">
        <v>127</v>
      </c>
      <c r="AU19" s="71" t="s">
        <v>101</v>
      </c>
    </row>
    <row r="20" spans="1:47" ht="14.5" customHeight="1" x14ac:dyDescent="0.35">
      <c r="A20" s="75">
        <v>20</v>
      </c>
      <c r="B20" s="76" t="s">
        <v>45</v>
      </c>
      <c r="C20" s="61">
        <v>2</v>
      </c>
      <c r="D20" s="61">
        <v>16</v>
      </c>
      <c r="E20" s="61">
        <v>34</v>
      </c>
      <c r="F20" s="61">
        <v>54</v>
      </c>
      <c r="G20" s="61">
        <v>51</v>
      </c>
      <c r="H20" s="61">
        <v>18</v>
      </c>
      <c r="I20" s="61">
        <v>30</v>
      </c>
      <c r="J20" s="61">
        <v>19</v>
      </c>
      <c r="K20" s="61">
        <v>30</v>
      </c>
      <c r="L20" s="61">
        <v>29</v>
      </c>
      <c r="M20" s="61">
        <v>1</v>
      </c>
      <c r="N20" s="61">
        <v>20</v>
      </c>
      <c r="O20" s="61">
        <v>50</v>
      </c>
      <c r="P20" s="61">
        <v>38</v>
      </c>
      <c r="Q20" s="61">
        <v>11</v>
      </c>
      <c r="R20" s="61">
        <v>11</v>
      </c>
      <c r="S20" s="61">
        <v>1</v>
      </c>
      <c r="T20" s="61">
        <v>50</v>
      </c>
      <c r="U20" s="61">
        <v>40</v>
      </c>
      <c r="V20" s="61">
        <v>39</v>
      </c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>
        <f t="shared" si="0"/>
        <v>544</v>
      </c>
      <c r="AN20" s="98"/>
      <c r="AO20" s="71" t="s">
        <v>132</v>
      </c>
      <c r="AP20" s="65"/>
      <c r="AQ20" s="98"/>
      <c r="AR20" s="71" t="s">
        <v>68</v>
      </c>
      <c r="AS20" s="65"/>
      <c r="AT20" s="98"/>
      <c r="AU20" s="71" t="s">
        <v>107</v>
      </c>
    </row>
    <row r="21" spans="1:47" ht="14.5" customHeight="1" x14ac:dyDescent="0.35">
      <c r="A21" s="75">
        <v>21</v>
      </c>
      <c r="B21" s="77" t="s">
        <v>72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>
        <f t="shared" si="0"/>
        <v>0</v>
      </c>
      <c r="AN21" s="70"/>
      <c r="AO21" s="66"/>
      <c r="AP21" s="65"/>
      <c r="AQ21" s="66"/>
      <c r="AR21" s="72"/>
      <c r="AS21" s="65"/>
      <c r="AT21" s="66"/>
      <c r="AU21" s="72"/>
    </row>
    <row r="22" spans="1:47" ht="14.5" customHeight="1" x14ac:dyDescent="0.35">
      <c r="A22" s="75">
        <v>22</v>
      </c>
      <c r="B22" s="76" t="s">
        <v>55</v>
      </c>
      <c r="C22" s="61">
        <v>36</v>
      </c>
      <c r="D22" s="61">
        <v>22</v>
      </c>
      <c r="E22" s="61">
        <v>22</v>
      </c>
      <c r="F22" s="61">
        <v>23</v>
      </c>
      <c r="G22" s="61">
        <v>22</v>
      </c>
      <c r="H22" s="61">
        <v>4</v>
      </c>
      <c r="I22" s="61">
        <v>46</v>
      </c>
      <c r="J22" s="61">
        <v>33</v>
      </c>
      <c r="K22" s="61">
        <v>7</v>
      </c>
      <c r="L22" s="61">
        <v>9</v>
      </c>
      <c r="M22" s="61">
        <v>1</v>
      </c>
      <c r="N22" s="61">
        <v>10</v>
      </c>
      <c r="O22" s="61">
        <v>29</v>
      </c>
      <c r="P22" s="61">
        <v>23</v>
      </c>
      <c r="Q22" s="61">
        <v>32</v>
      </c>
      <c r="R22" s="61">
        <v>5</v>
      </c>
      <c r="S22" s="61">
        <v>23</v>
      </c>
      <c r="T22" s="61">
        <v>13</v>
      </c>
      <c r="U22" s="61">
        <v>25</v>
      </c>
      <c r="V22" s="61">
        <v>43</v>
      </c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>
        <f t="shared" si="0"/>
        <v>428</v>
      </c>
      <c r="AN22" s="98" t="s">
        <v>123</v>
      </c>
      <c r="AO22" s="71" t="s">
        <v>109</v>
      </c>
      <c r="AP22" s="65"/>
      <c r="AQ22" s="98" t="s">
        <v>131</v>
      </c>
      <c r="AR22" s="71" t="s">
        <v>108</v>
      </c>
      <c r="AS22" s="65"/>
      <c r="AT22" s="98" t="s">
        <v>130</v>
      </c>
      <c r="AU22" s="71" t="s">
        <v>108</v>
      </c>
    </row>
    <row r="23" spans="1:47" ht="14.5" customHeight="1" x14ac:dyDescent="0.35">
      <c r="A23" s="75">
        <v>23</v>
      </c>
      <c r="B23" s="76" t="s">
        <v>51</v>
      </c>
      <c r="C23" s="61">
        <v>37</v>
      </c>
      <c r="D23" s="61">
        <v>48</v>
      </c>
      <c r="E23" s="61">
        <v>31</v>
      </c>
      <c r="F23" s="61">
        <v>37</v>
      </c>
      <c r="G23" s="61">
        <v>41</v>
      </c>
      <c r="H23" s="61">
        <v>10</v>
      </c>
      <c r="I23" s="61">
        <v>1</v>
      </c>
      <c r="J23" s="61">
        <v>30</v>
      </c>
      <c r="K23" s="61">
        <v>39</v>
      </c>
      <c r="L23" s="61">
        <v>1</v>
      </c>
      <c r="M23" s="61">
        <v>28</v>
      </c>
      <c r="N23" s="61">
        <v>9</v>
      </c>
      <c r="O23" s="61">
        <v>15</v>
      </c>
      <c r="P23" s="61">
        <v>10</v>
      </c>
      <c r="Q23" s="61">
        <v>40</v>
      </c>
      <c r="R23" s="61">
        <v>16</v>
      </c>
      <c r="S23" s="61">
        <v>35</v>
      </c>
      <c r="T23" s="61">
        <v>15</v>
      </c>
      <c r="U23" s="61">
        <v>40</v>
      </c>
      <c r="V23" s="61">
        <v>9</v>
      </c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>
        <f t="shared" si="0"/>
        <v>492</v>
      </c>
      <c r="AN23" s="98"/>
      <c r="AO23" s="71" t="s">
        <v>122</v>
      </c>
      <c r="AP23" s="65"/>
      <c r="AQ23" s="98"/>
      <c r="AR23" s="71" t="s">
        <v>117</v>
      </c>
      <c r="AS23" s="65"/>
      <c r="AT23" s="98"/>
      <c r="AU23" s="71" t="s">
        <v>124</v>
      </c>
    </row>
    <row r="24" spans="1:47" ht="14.5" customHeight="1" x14ac:dyDescent="0.35">
      <c r="A24" s="75">
        <v>24</v>
      </c>
      <c r="B24" s="76" t="s">
        <v>48</v>
      </c>
      <c r="C24" s="61">
        <v>25</v>
      </c>
      <c r="D24" s="61">
        <v>25</v>
      </c>
      <c r="E24" s="61">
        <v>26</v>
      </c>
      <c r="F24" s="61">
        <v>32</v>
      </c>
      <c r="G24" s="61">
        <v>49</v>
      </c>
      <c r="H24" s="61">
        <v>34</v>
      </c>
      <c r="I24" s="61">
        <v>47</v>
      </c>
      <c r="J24" s="61">
        <v>7</v>
      </c>
      <c r="K24" s="61">
        <v>30</v>
      </c>
      <c r="L24" s="61">
        <v>2</v>
      </c>
      <c r="M24" s="61">
        <v>31</v>
      </c>
      <c r="N24" s="61">
        <v>1</v>
      </c>
      <c r="O24" s="61">
        <v>28</v>
      </c>
      <c r="P24" s="61">
        <v>15</v>
      </c>
      <c r="Q24" s="61">
        <v>25</v>
      </c>
      <c r="R24" s="61">
        <v>38</v>
      </c>
      <c r="S24" s="61">
        <v>6</v>
      </c>
      <c r="T24" s="61">
        <v>25</v>
      </c>
      <c r="U24" s="61">
        <v>53</v>
      </c>
      <c r="V24" s="61">
        <v>21</v>
      </c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>
        <f t="shared" si="0"/>
        <v>520</v>
      </c>
      <c r="AN24" s="70"/>
      <c r="AO24" s="66"/>
      <c r="AP24" s="65"/>
      <c r="AQ24" s="66"/>
      <c r="AR24" s="72"/>
      <c r="AS24" s="65"/>
      <c r="AT24" s="66"/>
      <c r="AU24" s="72"/>
    </row>
    <row r="25" spans="1:47" ht="14.5" customHeight="1" x14ac:dyDescent="0.35">
      <c r="A25" s="75">
        <v>31</v>
      </c>
      <c r="B25" s="77" t="s">
        <v>94</v>
      </c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>
        <f t="shared" si="0"/>
        <v>0</v>
      </c>
      <c r="AN25" s="98">
        <v>8</v>
      </c>
      <c r="AO25" s="71" t="s">
        <v>81</v>
      </c>
      <c r="AP25" s="65"/>
      <c r="AQ25" s="98" t="s">
        <v>112</v>
      </c>
      <c r="AR25" s="71" t="s">
        <v>99</v>
      </c>
      <c r="AS25" s="65"/>
      <c r="AT25" s="98">
        <v>8</v>
      </c>
      <c r="AU25" s="71" t="s">
        <v>81</v>
      </c>
    </row>
    <row r="26" spans="1:47" ht="14.5" customHeight="1" x14ac:dyDescent="0.35">
      <c r="A26" s="75">
        <v>33</v>
      </c>
      <c r="B26" s="77" t="s">
        <v>95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>
        <f t="shared" si="0"/>
        <v>0</v>
      </c>
      <c r="AN26" s="98"/>
      <c r="AO26" s="71" t="s">
        <v>82</v>
      </c>
      <c r="AP26" s="65"/>
      <c r="AQ26" s="98"/>
      <c r="AR26" s="71" t="s">
        <v>100</v>
      </c>
      <c r="AS26" s="65"/>
      <c r="AT26" s="98"/>
      <c r="AU26" s="71" t="s">
        <v>82</v>
      </c>
    </row>
    <row r="27" spans="1:47" ht="14.5" customHeight="1" x14ac:dyDescent="0.35">
      <c r="A27" s="75">
        <v>34</v>
      </c>
      <c r="B27" s="77" t="s">
        <v>63</v>
      </c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>
        <f t="shared" si="0"/>
        <v>0</v>
      </c>
      <c r="AN27" s="70"/>
      <c r="AO27" s="66"/>
      <c r="AP27" s="65"/>
      <c r="AQ27" s="66"/>
      <c r="AR27" s="72"/>
      <c r="AS27" s="65"/>
      <c r="AT27" s="66"/>
      <c r="AU27" s="72"/>
    </row>
    <row r="28" spans="1:47" ht="14.5" customHeight="1" x14ac:dyDescent="0.35">
      <c r="A28" s="75">
        <v>35</v>
      </c>
      <c r="B28" s="77" t="s">
        <v>52</v>
      </c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>
        <f t="shared" si="0"/>
        <v>0</v>
      </c>
      <c r="AN28" s="98">
        <v>9</v>
      </c>
      <c r="AO28" s="71" t="s">
        <v>81</v>
      </c>
      <c r="AP28" s="65"/>
      <c r="AQ28" s="98">
        <v>9</v>
      </c>
      <c r="AR28" s="71" t="s">
        <v>81</v>
      </c>
      <c r="AS28" s="65"/>
      <c r="AT28" s="98">
        <v>9</v>
      </c>
      <c r="AU28" s="71" t="s">
        <v>81</v>
      </c>
    </row>
    <row r="29" spans="1:47" ht="14.5" customHeight="1" x14ac:dyDescent="0.35">
      <c r="A29" s="75">
        <v>38</v>
      </c>
      <c r="B29" s="77" t="s">
        <v>64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>
        <f t="shared" si="0"/>
        <v>0</v>
      </c>
      <c r="AN29" s="98"/>
      <c r="AO29" s="71" t="s">
        <v>82</v>
      </c>
      <c r="AP29" s="65"/>
      <c r="AQ29" s="98"/>
      <c r="AR29" s="71" t="s">
        <v>82</v>
      </c>
      <c r="AS29" s="65"/>
      <c r="AT29" s="98"/>
      <c r="AU29" s="71" t="s">
        <v>82</v>
      </c>
    </row>
    <row r="30" spans="1:47" ht="14.5" customHeight="1" x14ac:dyDescent="0.35">
      <c r="A30" s="75">
        <v>41</v>
      </c>
      <c r="B30" s="77" t="s">
        <v>61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>
        <f t="shared" si="0"/>
        <v>0</v>
      </c>
      <c r="AN30" s="70"/>
      <c r="AO30" s="66"/>
      <c r="AP30" s="65"/>
      <c r="AQ30" s="66"/>
      <c r="AR30" s="72"/>
      <c r="AS30" s="65"/>
      <c r="AT30" s="66"/>
      <c r="AU30" s="72"/>
    </row>
    <row r="31" spans="1:47" ht="14.5" customHeight="1" x14ac:dyDescent="0.35">
      <c r="A31" s="75">
        <v>42</v>
      </c>
      <c r="B31" s="77" t="s">
        <v>67</v>
      </c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>
        <f t="shared" si="0"/>
        <v>0</v>
      </c>
      <c r="AN31" s="98">
        <v>10</v>
      </c>
      <c r="AO31" s="71" t="s">
        <v>81</v>
      </c>
      <c r="AP31" s="65"/>
      <c r="AQ31" s="98">
        <v>10</v>
      </c>
      <c r="AR31" s="71" t="s">
        <v>81</v>
      </c>
      <c r="AS31" s="65"/>
      <c r="AT31" s="98">
        <v>10</v>
      </c>
      <c r="AU31" s="71" t="s">
        <v>81</v>
      </c>
    </row>
    <row r="32" spans="1:47" ht="14.5" customHeight="1" x14ac:dyDescent="0.35">
      <c r="A32" s="75">
        <v>43</v>
      </c>
      <c r="B32" s="76" t="s">
        <v>68</v>
      </c>
      <c r="C32" s="61">
        <v>16</v>
      </c>
      <c r="D32" s="61">
        <v>13</v>
      </c>
      <c r="E32" s="61">
        <v>3</v>
      </c>
      <c r="F32" s="61">
        <v>27</v>
      </c>
      <c r="G32" s="61">
        <v>17</v>
      </c>
      <c r="H32" s="61">
        <v>27</v>
      </c>
      <c r="I32" s="61">
        <v>16</v>
      </c>
      <c r="J32" s="61">
        <v>14</v>
      </c>
      <c r="K32" s="61">
        <v>14</v>
      </c>
      <c r="L32" s="61">
        <v>14</v>
      </c>
      <c r="M32" s="61">
        <v>35</v>
      </c>
      <c r="N32" s="61">
        <v>18</v>
      </c>
      <c r="O32" s="61">
        <v>30</v>
      </c>
      <c r="P32" s="61">
        <v>26</v>
      </c>
      <c r="Q32" s="61">
        <v>44</v>
      </c>
      <c r="R32" s="61">
        <v>41</v>
      </c>
      <c r="S32" s="61">
        <v>17</v>
      </c>
      <c r="T32" s="61">
        <v>17</v>
      </c>
      <c r="U32" s="61">
        <v>22</v>
      </c>
      <c r="V32" s="61">
        <v>35</v>
      </c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>
        <f t="shared" si="0"/>
        <v>446</v>
      </c>
      <c r="AN32" s="98"/>
      <c r="AO32" s="71" t="s">
        <v>82</v>
      </c>
      <c r="AP32" s="65"/>
      <c r="AQ32" s="98"/>
      <c r="AR32" s="71" t="s">
        <v>82</v>
      </c>
      <c r="AS32" s="65"/>
      <c r="AT32" s="98"/>
      <c r="AU32" s="71" t="s">
        <v>82</v>
      </c>
    </row>
    <row r="33" spans="1:41" ht="14.5" customHeight="1" x14ac:dyDescent="0.35">
      <c r="A33" s="75">
        <v>44</v>
      </c>
      <c r="B33" s="77" t="s">
        <v>96</v>
      </c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>
        <f t="shared" si="0"/>
        <v>0</v>
      </c>
    </row>
    <row r="34" spans="1:41" ht="14.5" customHeight="1" x14ac:dyDescent="0.35">
      <c r="A34" s="75">
        <v>45</v>
      </c>
      <c r="B34" s="76" t="s">
        <v>53</v>
      </c>
      <c r="C34" s="61">
        <v>58</v>
      </c>
      <c r="D34" s="61">
        <v>67</v>
      </c>
      <c r="E34" s="61">
        <v>61</v>
      </c>
      <c r="F34" s="61">
        <v>39</v>
      </c>
      <c r="G34" s="61">
        <v>30</v>
      </c>
      <c r="H34" s="61">
        <v>70</v>
      </c>
      <c r="I34" s="61">
        <v>28</v>
      </c>
      <c r="J34" s="61">
        <v>33</v>
      </c>
      <c r="K34" s="61">
        <v>71</v>
      </c>
      <c r="L34" s="61">
        <v>27</v>
      </c>
      <c r="M34" s="61">
        <v>42</v>
      </c>
      <c r="N34" s="61">
        <v>41</v>
      </c>
      <c r="O34" s="61">
        <v>53</v>
      </c>
      <c r="P34" s="61">
        <v>37</v>
      </c>
      <c r="Q34" s="61">
        <v>12</v>
      </c>
      <c r="R34" s="61">
        <v>35</v>
      </c>
      <c r="S34" s="61">
        <v>12</v>
      </c>
      <c r="T34" s="61">
        <v>2</v>
      </c>
      <c r="U34" s="61">
        <v>2</v>
      </c>
      <c r="V34" s="61">
        <v>47</v>
      </c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>
        <f t="shared" si="0"/>
        <v>767</v>
      </c>
    </row>
    <row r="35" spans="1:41" ht="14.5" customHeight="1" x14ac:dyDescent="0.35">
      <c r="A35" s="75">
        <v>47</v>
      </c>
      <c r="B35" s="77" t="s">
        <v>69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>
        <f t="shared" si="0"/>
        <v>0</v>
      </c>
      <c r="AN35" s="83"/>
      <c r="AO35" s="84"/>
    </row>
    <row r="36" spans="1:41" ht="14.5" customHeight="1" x14ac:dyDescent="0.35">
      <c r="A36" s="75">
        <v>48</v>
      </c>
      <c r="B36" s="76" t="s">
        <v>47</v>
      </c>
      <c r="C36" s="61">
        <v>3</v>
      </c>
      <c r="D36" s="61">
        <v>14</v>
      </c>
      <c r="E36" s="61">
        <v>5</v>
      </c>
      <c r="F36" s="61">
        <v>0</v>
      </c>
      <c r="G36" s="61">
        <v>0</v>
      </c>
      <c r="H36" s="61">
        <v>0</v>
      </c>
      <c r="I36" s="61">
        <v>0</v>
      </c>
      <c r="J36" s="61">
        <v>1</v>
      </c>
      <c r="K36" s="61">
        <v>19</v>
      </c>
      <c r="L36" s="61">
        <v>37</v>
      </c>
      <c r="M36" s="61">
        <v>35</v>
      </c>
      <c r="N36" s="61">
        <v>12</v>
      </c>
      <c r="O36" s="61">
        <v>20</v>
      </c>
      <c r="P36" s="61">
        <v>13</v>
      </c>
      <c r="Q36" s="61">
        <v>18</v>
      </c>
      <c r="R36" s="61">
        <v>10</v>
      </c>
      <c r="S36" s="61">
        <v>11</v>
      </c>
      <c r="T36" s="61">
        <v>32</v>
      </c>
      <c r="U36" s="61">
        <v>35</v>
      </c>
      <c r="V36" s="61">
        <v>15</v>
      </c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>
        <f t="shared" si="0"/>
        <v>280</v>
      </c>
      <c r="AN36" s="85"/>
      <c r="AO36" s="86"/>
    </row>
    <row r="37" spans="1:41" ht="14.5" customHeight="1" x14ac:dyDescent="0.35">
      <c r="A37" s="75">
        <v>50</v>
      </c>
      <c r="B37" s="77" t="s">
        <v>86</v>
      </c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>
        <f t="shared" si="0"/>
        <v>0</v>
      </c>
      <c r="AN37" s="85"/>
      <c r="AO37" s="86"/>
    </row>
    <row r="38" spans="1:41" ht="14.5" customHeight="1" x14ac:dyDescent="0.35">
      <c r="A38" s="75">
        <v>51</v>
      </c>
      <c r="B38" s="77" t="s">
        <v>85</v>
      </c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>
        <f t="shared" si="0"/>
        <v>0</v>
      </c>
      <c r="AN38" s="85"/>
      <c r="AO38" s="86"/>
    </row>
    <row r="39" spans="1:41" ht="14.5" customHeight="1" x14ac:dyDescent="0.35">
      <c r="A39" s="75">
        <v>54</v>
      </c>
      <c r="B39" s="76" t="s">
        <v>46</v>
      </c>
      <c r="C39" s="61">
        <v>14</v>
      </c>
      <c r="D39" s="61">
        <v>1</v>
      </c>
      <c r="E39" s="61">
        <v>48</v>
      </c>
      <c r="F39" s="61">
        <v>36</v>
      </c>
      <c r="G39" s="61">
        <v>39</v>
      </c>
      <c r="H39" s="61">
        <v>33</v>
      </c>
      <c r="I39" s="61">
        <v>49</v>
      </c>
      <c r="J39" s="61">
        <v>59</v>
      </c>
      <c r="K39" s="61">
        <v>38</v>
      </c>
      <c r="L39" s="61">
        <v>3</v>
      </c>
      <c r="M39" s="61">
        <v>8</v>
      </c>
      <c r="N39" s="61">
        <v>42</v>
      </c>
      <c r="O39" s="61">
        <v>53</v>
      </c>
      <c r="P39" s="61">
        <v>24</v>
      </c>
      <c r="Q39" s="61">
        <v>21</v>
      </c>
      <c r="R39" s="61">
        <v>36</v>
      </c>
      <c r="S39" s="61">
        <v>29</v>
      </c>
      <c r="T39" s="61">
        <v>54</v>
      </c>
      <c r="U39" s="61">
        <v>38</v>
      </c>
      <c r="V39" s="61">
        <v>38</v>
      </c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>
        <f t="shared" si="0"/>
        <v>663</v>
      </c>
      <c r="AN39" s="87"/>
      <c r="AO39" s="88"/>
    </row>
    <row r="40" spans="1:41" ht="14.5" customHeight="1" x14ac:dyDescent="0.35">
      <c r="A40" s="75">
        <v>60</v>
      </c>
      <c r="B40" s="62" t="s">
        <v>58</v>
      </c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>
        <f t="shared" si="0"/>
        <v>0</v>
      </c>
      <c r="AN40" s="81"/>
      <c r="AO40" s="82"/>
    </row>
    <row r="41" spans="1:41" ht="14.5" customHeight="1" x14ac:dyDescent="0.35">
      <c r="A41" s="75">
        <v>71</v>
      </c>
      <c r="B41" s="62" t="s">
        <v>65</v>
      </c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>
        <f t="shared" si="0"/>
        <v>0</v>
      </c>
    </row>
    <row r="42" spans="1:41" ht="14.5" customHeight="1" x14ac:dyDescent="0.35">
      <c r="A42" s="75">
        <v>77</v>
      </c>
      <c r="B42" s="76" t="s">
        <v>66</v>
      </c>
      <c r="C42" s="61"/>
      <c r="D42" s="61"/>
      <c r="E42" s="61"/>
      <c r="F42" s="61">
        <v>21</v>
      </c>
      <c r="G42" s="61">
        <v>15</v>
      </c>
      <c r="H42" s="61">
        <v>33</v>
      </c>
      <c r="I42" s="61">
        <v>20</v>
      </c>
      <c r="J42" s="61">
        <v>38</v>
      </c>
      <c r="K42" s="61">
        <v>28</v>
      </c>
      <c r="L42" s="61">
        <v>55</v>
      </c>
      <c r="M42" s="61">
        <v>41</v>
      </c>
      <c r="N42" s="61">
        <v>9</v>
      </c>
      <c r="O42" s="61">
        <v>14</v>
      </c>
      <c r="P42" s="61">
        <v>27</v>
      </c>
      <c r="Q42" s="61">
        <v>45</v>
      </c>
      <c r="R42" s="61">
        <v>21</v>
      </c>
      <c r="S42" s="61">
        <v>27</v>
      </c>
      <c r="T42" s="61">
        <v>33</v>
      </c>
      <c r="U42" s="61">
        <v>15</v>
      </c>
      <c r="V42" s="61">
        <v>39</v>
      </c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>
        <f t="shared" si="0"/>
        <v>481</v>
      </c>
    </row>
    <row r="43" spans="1:41" ht="14.5" customHeight="1" x14ac:dyDescent="0.35">
      <c r="A43" s="75">
        <v>78</v>
      </c>
      <c r="B43" s="74" t="s">
        <v>119</v>
      </c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>
        <f t="shared" si="0"/>
        <v>0</v>
      </c>
    </row>
    <row r="44" spans="1:41" ht="14.5" customHeight="1" x14ac:dyDescent="0.35">
      <c r="A44" s="75">
        <v>84</v>
      </c>
      <c r="B44" s="62" t="s">
        <v>97</v>
      </c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1"/>
      <c r="AL44" s="61"/>
      <c r="AM44" s="61">
        <f t="shared" si="0"/>
        <v>0</v>
      </c>
    </row>
    <row r="45" spans="1:41" ht="14.5" customHeight="1" x14ac:dyDescent="0.35">
      <c r="A45" s="75">
        <v>88</v>
      </c>
      <c r="B45" s="76" t="s">
        <v>121</v>
      </c>
      <c r="C45" s="61">
        <v>4</v>
      </c>
      <c r="D45" s="61">
        <v>9</v>
      </c>
      <c r="E45" s="61">
        <v>23</v>
      </c>
      <c r="F45" s="61">
        <v>8</v>
      </c>
      <c r="G45" s="61">
        <v>5</v>
      </c>
      <c r="H45" s="61">
        <v>19</v>
      </c>
      <c r="I45" s="61">
        <v>11</v>
      </c>
      <c r="J45" s="61">
        <v>4</v>
      </c>
      <c r="K45" s="61">
        <v>8</v>
      </c>
      <c r="L45" s="61">
        <v>11</v>
      </c>
      <c r="M45" s="61">
        <v>21</v>
      </c>
      <c r="N45" s="61">
        <v>21</v>
      </c>
      <c r="O45" s="61">
        <v>1</v>
      </c>
      <c r="P45" s="61">
        <v>1</v>
      </c>
      <c r="Q45" s="61">
        <v>1</v>
      </c>
      <c r="R45" s="61">
        <v>14</v>
      </c>
      <c r="S45" s="61">
        <v>3</v>
      </c>
      <c r="T45" s="61">
        <v>33</v>
      </c>
      <c r="U45" s="61">
        <v>1</v>
      </c>
      <c r="V45" s="61">
        <v>9</v>
      </c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1"/>
      <c r="AL45" s="61"/>
      <c r="AM45" s="61">
        <f t="shared" si="0"/>
        <v>207</v>
      </c>
    </row>
    <row r="46" spans="1:41" ht="14.5" customHeight="1" x14ac:dyDescent="0.35">
      <c r="A46" s="75">
        <v>97</v>
      </c>
      <c r="B46" s="76" t="s">
        <v>120</v>
      </c>
      <c r="C46" s="61">
        <v>7</v>
      </c>
      <c r="D46" s="61">
        <v>32</v>
      </c>
      <c r="E46" s="61">
        <v>45</v>
      </c>
      <c r="F46" s="61">
        <v>26</v>
      </c>
      <c r="G46" s="61">
        <v>1</v>
      </c>
      <c r="H46" s="61">
        <v>23</v>
      </c>
      <c r="I46" s="61">
        <v>34</v>
      </c>
      <c r="J46" s="61">
        <v>3</v>
      </c>
      <c r="K46" s="61">
        <v>1</v>
      </c>
      <c r="L46" s="61">
        <v>17</v>
      </c>
      <c r="M46" s="61">
        <v>20</v>
      </c>
      <c r="N46" s="61">
        <v>68</v>
      </c>
      <c r="O46" s="61">
        <v>33</v>
      </c>
      <c r="P46" s="61">
        <v>32</v>
      </c>
      <c r="Q46" s="61">
        <v>7</v>
      </c>
      <c r="R46" s="61">
        <v>6</v>
      </c>
      <c r="S46" s="61">
        <v>1</v>
      </c>
      <c r="T46" s="61">
        <v>63</v>
      </c>
      <c r="U46" s="61">
        <v>12</v>
      </c>
      <c r="V46" s="61">
        <v>32</v>
      </c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>
        <f t="shared" si="0"/>
        <v>463</v>
      </c>
    </row>
    <row r="47" spans="1:41" ht="14.5" customHeight="1" x14ac:dyDescent="0.35"/>
    <row r="48" spans="1:41" ht="14.5" customHeight="1" x14ac:dyDescent="0.35"/>
    <row r="49" ht="14.5" customHeight="1" x14ac:dyDescent="0.35"/>
    <row r="50" ht="14.5" customHeight="1" x14ac:dyDescent="0.35"/>
    <row r="51" ht="14.5" customHeight="1" x14ac:dyDescent="0.35"/>
    <row r="52" ht="14.5" customHeight="1" x14ac:dyDescent="0.35"/>
  </sheetData>
  <sheetProtection formatColumns="0" formatRows="0"/>
  <mergeCells count="78">
    <mergeCell ref="AT22:AT23"/>
    <mergeCell ref="AT25:AT26"/>
    <mergeCell ref="AT28:AT29"/>
    <mergeCell ref="AT31:AT32"/>
    <mergeCell ref="AT7:AT8"/>
    <mergeCell ref="AT10:AT11"/>
    <mergeCell ref="AT13:AT14"/>
    <mergeCell ref="AT16:AT17"/>
    <mergeCell ref="AT19:AT20"/>
    <mergeCell ref="AN22:AN23"/>
    <mergeCell ref="AN25:AN26"/>
    <mergeCell ref="AN28:AN29"/>
    <mergeCell ref="AN31:AN32"/>
    <mergeCell ref="AQ4:AQ5"/>
    <mergeCell ref="AQ7:AQ8"/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N7:AN8"/>
    <mergeCell ref="AN10:AN11"/>
    <mergeCell ref="AN13:AN14"/>
    <mergeCell ref="AN16:AN17"/>
    <mergeCell ref="AN19:AN20"/>
    <mergeCell ref="H1:H3"/>
    <mergeCell ref="AN2:AO2"/>
    <mergeCell ref="O1:O3"/>
    <mergeCell ref="P1:P3"/>
    <mergeCell ref="Q1:Q3"/>
    <mergeCell ref="R1:R3"/>
    <mergeCell ref="S1:S3"/>
    <mergeCell ref="V1:V3"/>
    <mergeCell ref="W1:W3"/>
    <mergeCell ref="X1:X3"/>
    <mergeCell ref="Y1:Y3"/>
    <mergeCell ref="Z1:Z3"/>
    <mergeCell ref="AQ2:AR2"/>
    <mergeCell ref="AT2:AU2"/>
    <mergeCell ref="AN4:AN5"/>
    <mergeCell ref="AT4:AT5"/>
    <mergeCell ref="C1:C3"/>
    <mergeCell ref="D1:D3"/>
    <mergeCell ref="E1:E3"/>
    <mergeCell ref="F1:F3"/>
    <mergeCell ref="G1:G3"/>
    <mergeCell ref="T1:T3"/>
    <mergeCell ref="I1:I3"/>
    <mergeCell ref="J1:J3"/>
    <mergeCell ref="K1:K3"/>
    <mergeCell ref="L1:L3"/>
    <mergeCell ref="M1:M3"/>
    <mergeCell ref="N1:N3"/>
    <mergeCell ref="B1:B3"/>
    <mergeCell ref="A1:A3"/>
    <mergeCell ref="AM1:AM3"/>
    <mergeCell ref="AG1:AG3"/>
    <mergeCell ref="AH1:AH3"/>
    <mergeCell ref="AI1:AI3"/>
    <mergeCell ref="AJ1:AJ3"/>
    <mergeCell ref="AK1:AK3"/>
    <mergeCell ref="AL1:AL3"/>
    <mergeCell ref="AA1:AA3"/>
    <mergeCell ref="AB1:AB3"/>
    <mergeCell ref="AC1:AC3"/>
    <mergeCell ref="AD1:AD3"/>
    <mergeCell ref="AE1:AE3"/>
    <mergeCell ref="AF1:AF3"/>
    <mergeCell ref="U1:U3"/>
    <mergeCell ref="AN40:AO40"/>
    <mergeCell ref="AN35:AO35"/>
    <mergeCell ref="AN36:AO36"/>
    <mergeCell ref="AN37:AO37"/>
    <mergeCell ref="AN38:AO38"/>
    <mergeCell ref="AN39:AO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48"/>
  <sheetViews>
    <sheetView zoomScale="120" zoomScaleNormal="120" workbookViewId="0">
      <pane xSplit="2" topLeftCell="C1" activePane="topRight" state="frozen"/>
      <selection pane="topRight" activeCell="U22" sqref="U22:AL22"/>
    </sheetView>
  </sheetViews>
  <sheetFormatPr defaultColWidth="9.1796875" defaultRowHeight="10.5" x14ac:dyDescent="0.25"/>
  <cols>
    <col min="1" max="1" width="5.453125" style="7" bestFit="1" customWidth="1"/>
    <col min="2" max="2" width="10.1796875" style="8" customWidth="1"/>
    <col min="3" max="9" width="3.54296875" style="4" customWidth="1"/>
    <col min="10" max="38" width="3.54296875" style="5" customWidth="1"/>
    <col min="39" max="39" width="7.54296875" style="5" bestFit="1" customWidth="1"/>
    <col min="40" max="40" width="3.54296875" style="5" customWidth="1"/>
    <col min="41" max="42" width="9.453125" style="2" customWidth="1"/>
    <col min="43" max="56" width="3.54296875" style="2" customWidth="1"/>
    <col min="57" max="16384" width="9.1796875" style="2"/>
  </cols>
  <sheetData>
    <row r="1" spans="1:56" ht="22" x14ac:dyDescent="0.25">
      <c r="A1" s="132">
        <v>2025</v>
      </c>
      <c r="B1" s="133"/>
      <c r="C1" s="132" t="s">
        <v>40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48"/>
    </row>
    <row r="2" spans="1:56" ht="22.5" thickBo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48"/>
    </row>
    <row r="3" spans="1:56" ht="11.25" customHeight="1" x14ac:dyDescent="0.25">
      <c r="A3" s="119" t="s">
        <v>18</v>
      </c>
      <c r="B3" s="89" t="s">
        <v>17</v>
      </c>
      <c r="C3" s="93" t="s">
        <v>31</v>
      </c>
      <c r="D3" s="95" t="s">
        <v>32</v>
      </c>
      <c r="E3" s="93" t="s">
        <v>33</v>
      </c>
      <c r="F3" s="95" t="s">
        <v>34</v>
      </c>
      <c r="G3" s="93" t="s">
        <v>35</v>
      </c>
      <c r="H3" s="95" t="s">
        <v>36</v>
      </c>
      <c r="I3" s="93" t="s">
        <v>37</v>
      </c>
      <c r="J3" s="95" t="s">
        <v>38</v>
      </c>
      <c r="K3" s="93" t="s">
        <v>39</v>
      </c>
      <c r="L3" s="95" t="s">
        <v>0</v>
      </c>
      <c r="M3" s="93" t="s">
        <v>1</v>
      </c>
      <c r="N3" s="93" t="s">
        <v>2</v>
      </c>
      <c r="O3" s="93" t="s">
        <v>3</v>
      </c>
      <c r="P3" s="93" t="s">
        <v>4</v>
      </c>
      <c r="Q3" s="93" t="s">
        <v>5</v>
      </c>
      <c r="R3" s="93" t="s">
        <v>6</v>
      </c>
      <c r="S3" s="93" t="s">
        <v>7</v>
      </c>
      <c r="T3" s="93" t="s">
        <v>8</v>
      </c>
      <c r="U3" s="93" t="s">
        <v>9</v>
      </c>
      <c r="V3" s="93" t="s">
        <v>10</v>
      </c>
      <c r="W3" s="93" t="s">
        <v>11</v>
      </c>
      <c r="X3" s="93" t="s">
        <v>12</v>
      </c>
      <c r="Y3" s="93" t="s">
        <v>13</v>
      </c>
      <c r="Z3" s="93" t="s">
        <v>14</v>
      </c>
      <c r="AA3" s="93" t="s">
        <v>15</v>
      </c>
      <c r="AB3" s="93" t="s">
        <v>16</v>
      </c>
      <c r="AC3" s="95" t="s">
        <v>19</v>
      </c>
      <c r="AD3" s="93" t="s">
        <v>20</v>
      </c>
      <c r="AE3" s="93" t="s">
        <v>21</v>
      </c>
      <c r="AF3" s="93" t="s">
        <v>22</v>
      </c>
      <c r="AG3" s="93" t="s">
        <v>23</v>
      </c>
      <c r="AH3" s="93" t="s">
        <v>24</v>
      </c>
      <c r="AI3" s="93" t="s">
        <v>25</v>
      </c>
      <c r="AJ3" s="93" t="s">
        <v>26</v>
      </c>
      <c r="AK3" s="93" t="s">
        <v>27</v>
      </c>
      <c r="AL3" s="91" t="s">
        <v>28</v>
      </c>
      <c r="AM3" s="136" t="s">
        <v>30</v>
      </c>
      <c r="AN3" s="139" t="s">
        <v>29</v>
      </c>
      <c r="AO3" s="142" t="s">
        <v>41</v>
      </c>
      <c r="AP3" s="47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</row>
    <row r="4" spans="1:56" ht="12.75" customHeight="1" x14ac:dyDescent="0.25">
      <c r="A4" s="120"/>
      <c r="B4" s="90"/>
      <c r="C4" s="94"/>
      <c r="D4" s="96"/>
      <c r="E4" s="94"/>
      <c r="F4" s="96"/>
      <c r="G4" s="94"/>
      <c r="H4" s="96"/>
      <c r="I4" s="94"/>
      <c r="J4" s="96"/>
      <c r="K4" s="94"/>
      <c r="L4" s="96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6"/>
      <c r="AD4" s="94"/>
      <c r="AE4" s="94"/>
      <c r="AF4" s="94"/>
      <c r="AG4" s="94"/>
      <c r="AH4" s="94"/>
      <c r="AI4" s="94"/>
      <c r="AJ4" s="94"/>
      <c r="AK4" s="94"/>
      <c r="AL4" s="92"/>
      <c r="AM4" s="137"/>
      <c r="AN4" s="140"/>
      <c r="AO4" s="143"/>
      <c r="AP4" s="47"/>
      <c r="AQ4" s="125"/>
      <c r="AR4" s="130"/>
      <c r="AS4" s="125"/>
      <c r="AT4" s="130"/>
      <c r="AU4" s="125"/>
      <c r="AV4" s="130"/>
      <c r="AW4" s="125"/>
      <c r="AX4" s="130"/>
      <c r="AY4" s="125"/>
      <c r="AZ4" s="130"/>
      <c r="BA4" s="125"/>
      <c r="BB4" s="130"/>
      <c r="BC4" s="125"/>
      <c r="BD4" s="130"/>
    </row>
    <row r="5" spans="1:56" ht="11" thickBot="1" x14ac:dyDescent="0.3">
      <c r="A5" s="121"/>
      <c r="B5" s="118"/>
      <c r="C5" s="122"/>
      <c r="D5" s="123"/>
      <c r="E5" s="122"/>
      <c r="F5" s="123"/>
      <c r="G5" s="122"/>
      <c r="H5" s="123"/>
      <c r="I5" s="122"/>
      <c r="J5" s="123"/>
      <c r="K5" s="122"/>
      <c r="L5" s="123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3"/>
      <c r="AD5" s="122"/>
      <c r="AE5" s="122"/>
      <c r="AF5" s="122"/>
      <c r="AG5" s="122"/>
      <c r="AH5" s="122"/>
      <c r="AI5" s="122"/>
      <c r="AJ5" s="122"/>
      <c r="AK5" s="122"/>
      <c r="AL5" s="131"/>
      <c r="AM5" s="138"/>
      <c r="AN5" s="141"/>
      <c r="AO5" s="144"/>
      <c r="AP5" s="47"/>
      <c r="AQ5" s="125"/>
      <c r="AR5" s="130"/>
      <c r="AS5" s="125"/>
      <c r="AT5" s="130"/>
      <c r="AU5" s="125"/>
      <c r="AV5" s="130"/>
      <c r="AW5" s="125"/>
      <c r="AX5" s="130"/>
      <c r="AY5" s="125"/>
      <c r="AZ5" s="130"/>
      <c r="BA5" s="125"/>
      <c r="BB5" s="130"/>
      <c r="BC5" s="125"/>
      <c r="BD5" s="130"/>
    </row>
    <row r="6" spans="1:56" x14ac:dyDescent="0.25">
      <c r="A6" s="135" t="str">
        <f>Drivers!AN4</f>
        <v xml:space="preserve">Dehaven  </v>
      </c>
      <c r="B6" s="49" t="str">
        <f>Drivers!AO4</f>
        <v>Elliott</v>
      </c>
      <c r="C6" s="25">
        <f>Drivers!C12</f>
        <v>33</v>
      </c>
      <c r="D6" s="25">
        <f>Drivers!D12</f>
        <v>38</v>
      </c>
      <c r="E6" s="25">
        <f>Drivers!E12</f>
        <v>33</v>
      </c>
      <c r="F6" s="25">
        <f>Drivers!F12</f>
        <v>14</v>
      </c>
      <c r="G6" s="25">
        <f>Drivers!G12</f>
        <v>40</v>
      </c>
      <c r="H6" s="25">
        <f>Drivers!H12</f>
        <v>26</v>
      </c>
      <c r="I6" s="25">
        <f>Drivers!I12</f>
        <v>55</v>
      </c>
      <c r="J6" s="25">
        <f>Drivers!J12</f>
        <v>15</v>
      </c>
      <c r="K6" s="25">
        <f>Drivers!K12</f>
        <v>41</v>
      </c>
      <c r="L6" s="25">
        <f>Drivers!L12</f>
        <v>35</v>
      </c>
      <c r="M6" s="25">
        <f>Drivers!M12</f>
        <v>69</v>
      </c>
      <c r="N6" s="25">
        <f>Drivers!N12</f>
        <v>13</v>
      </c>
      <c r="O6" s="25">
        <f>Drivers!O12</f>
        <v>1</v>
      </c>
      <c r="P6" s="25">
        <f>Drivers!P12</f>
        <v>37</v>
      </c>
      <c r="Q6" s="25">
        <f>Drivers!Q12</f>
        <v>22</v>
      </c>
      <c r="R6" s="25">
        <f>Drivers!R12</f>
        <v>27</v>
      </c>
      <c r="S6" s="25">
        <f>Drivers!S12</f>
        <v>25</v>
      </c>
      <c r="T6" s="25">
        <f>Drivers!T12</f>
        <v>20</v>
      </c>
      <c r="U6" s="25">
        <f>Drivers!U12</f>
        <v>30</v>
      </c>
      <c r="V6" s="25">
        <f>Drivers!V12</f>
        <v>26</v>
      </c>
      <c r="W6" s="25">
        <f>Drivers!W12</f>
        <v>0</v>
      </c>
      <c r="X6" s="25">
        <f>Drivers!X12</f>
        <v>0</v>
      </c>
      <c r="Y6" s="25">
        <f>Drivers!Y12</f>
        <v>0</v>
      </c>
      <c r="Z6" s="25">
        <f>Drivers!Z12</f>
        <v>0</v>
      </c>
      <c r="AA6" s="25">
        <f>Drivers!AA12</f>
        <v>0</v>
      </c>
      <c r="AB6" s="25">
        <f>Drivers!AB12</f>
        <v>0</v>
      </c>
      <c r="AC6" s="25">
        <f>Drivers!AC12</f>
        <v>0</v>
      </c>
      <c r="AD6" s="25">
        <f>Drivers!AD12</f>
        <v>0</v>
      </c>
      <c r="AE6" s="25">
        <f>Drivers!AE12</f>
        <v>0</v>
      </c>
      <c r="AF6" s="25">
        <f>Drivers!AF12</f>
        <v>0</v>
      </c>
      <c r="AG6" s="25">
        <f>Drivers!AG12</f>
        <v>0</v>
      </c>
      <c r="AH6" s="25">
        <f>Drivers!AH12</f>
        <v>0</v>
      </c>
      <c r="AI6" s="25">
        <f>Drivers!AI12</f>
        <v>0</v>
      </c>
      <c r="AJ6" s="25">
        <f>Drivers!AJ12</f>
        <v>0</v>
      </c>
      <c r="AK6" s="25">
        <f>Drivers!AK12</f>
        <v>0</v>
      </c>
      <c r="AL6" s="25">
        <f>Drivers!AL12</f>
        <v>0</v>
      </c>
      <c r="AM6" s="111">
        <f>SUM(C8:AL8)</f>
        <v>1367</v>
      </c>
      <c r="AN6" s="110">
        <f>RANK($AM$6:$AM$35,$AM$6:$AM$35,1&gt;10)</f>
        <v>2</v>
      </c>
      <c r="AO6" s="101">
        <f>AVERAGE(C8:AL8)</f>
        <v>37.972222222222221</v>
      </c>
    </row>
    <row r="7" spans="1:56" s="1" customFormat="1" ht="13" x14ac:dyDescent="0.3">
      <c r="A7" s="127"/>
      <c r="B7" s="49" t="str">
        <f>Drivers!AO5</f>
        <v>Reddick</v>
      </c>
      <c r="C7" s="26">
        <f>Drivers!C34</f>
        <v>58</v>
      </c>
      <c r="D7" s="26">
        <f>Drivers!D34</f>
        <v>67</v>
      </c>
      <c r="E7" s="26">
        <f>Drivers!E34</f>
        <v>61</v>
      </c>
      <c r="F7" s="26">
        <f>Drivers!F34</f>
        <v>39</v>
      </c>
      <c r="G7" s="26">
        <f>Drivers!G34</f>
        <v>30</v>
      </c>
      <c r="H7" s="26">
        <f>Drivers!H34</f>
        <v>70</v>
      </c>
      <c r="I7" s="26">
        <f>Drivers!I34</f>
        <v>28</v>
      </c>
      <c r="J7" s="26">
        <f>Drivers!J34</f>
        <v>33</v>
      </c>
      <c r="K7" s="26">
        <f>Drivers!K34</f>
        <v>71</v>
      </c>
      <c r="L7" s="26">
        <f>Drivers!L34</f>
        <v>27</v>
      </c>
      <c r="M7" s="26">
        <f>Drivers!M34</f>
        <v>42</v>
      </c>
      <c r="N7" s="26">
        <f>Drivers!N34</f>
        <v>41</v>
      </c>
      <c r="O7" s="26">
        <f>Drivers!O34</f>
        <v>53</v>
      </c>
      <c r="P7" s="26">
        <f>Drivers!P34</f>
        <v>37</v>
      </c>
      <c r="Q7" s="26">
        <f>Drivers!Q34</f>
        <v>12</v>
      </c>
      <c r="R7" s="26">
        <f>Drivers!R34</f>
        <v>35</v>
      </c>
      <c r="S7" s="26">
        <f>Drivers!S34</f>
        <v>12</v>
      </c>
      <c r="T7" s="26">
        <f>Drivers!T34</f>
        <v>2</v>
      </c>
      <c r="U7" s="26">
        <f>Drivers!U34</f>
        <v>2</v>
      </c>
      <c r="V7" s="26">
        <f>Drivers!V34</f>
        <v>47</v>
      </c>
      <c r="W7" s="26">
        <f>Drivers!W34</f>
        <v>0</v>
      </c>
      <c r="X7" s="26">
        <f>Drivers!X34</f>
        <v>0</v>
      </c>
      <c r="Y7" s="26">
        <f>Drivers!Y34</f>
        <v>0</v>
      </c>
      <c r="Z7" s="26">
        <f>Drivers!Z34</f>
        <v>0</v>
      </c>
      <c r="AA7" s="26">
        <f>Drivers!AA34</f>
        <v>0</v>
      </c>
      <c r="AB7" s="26">
        <f>Drivers!AB34</f>
        <v>0</v>
      </c>
      <c r="AC7" s="26">
        <f>Drivers!AC34</f>
        <v>0</v>
      </c>
      <c r="AD7" s="26">
        <f>Drivers!AD34</f>
        <v>0</v>
      </c>
      <c r="AE7" s="26">
        <f>Drivers!AE34</f>
        <v>0</v>
      </c>
      <c r="AF7" s="26">
        <f>Drivers!AF34</f>
        <v>0</v>
      </c>
      <c r="AG7" s="26">
        <f>Drivers!AG34</f>
        <v>0</v>
      </c>
      <c r="AH7" s="26">
        <f>Drivers!AH34</f>
        <v>0</v>
      </c>
      <c r="AI7" s="26">
        <f>Drivers!AI34</f>
        <v>0</v>
      </c>
      <c r="AJ7" s="26">
        <f>Drivers!AJ34</f>
        <v>0</v>
      </c>
      <c r="AK7" s="26">
        <f>Drivers!AK34</f>
        <v>0</v>
      </c>
      <c r="AL7" s="26">
        <f>Drivers!AL34</f>
        <v>0</v>
      </c>
      <c r="AM7" s="112"/>
      <c r="AN7" s="105"/>
      <c r="AO7" s="10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35">
      <c r="A8" s="129"/>
      <c r="B8" s="49"/>
      <c r="C8" s="27">
        <f>SUM(C6+C7)</f>
        <v>91</v>
      </c>
      <c r="D8" s="27">
        <f t="shared" ref="D8:AL8" si="0">SUM(D6+D7)</f>
        <v>105</v>
      </c>
      <c r="E8" s="27">
        <f t="shared" si="0"/>
        <v>94</v>
      </c>
      <c r="F8" s="27">
        <f t="shared" si="0"/>
        <v>53</v>
      </c>
      <c r="G8" s="27">
        <f t="shared" si="0"/>
        <v>70</v>
      </c>
      <c r="H8" s="27">
        <f t="shared" si="0"/>
        <v>96</v>
      </c>
      <c r="I8" s="27">
        <f t="shared" si="0"/>
        <v>83</v>
      </c>
      <c r="J8" s="27">
        <f t="shared" si="0"/>
        <v>48</v>
      </c>
      <c r="K8" s="27">
        <f t="shared" si="0"/>
        <v>112</v>
      </c>
      <c r="L8" s="29">
        <f t="shared" si="0"/>
        <v>62</v>
      </c>
      <c r="M8" s="27">
        <f t="shared" si="0"/>
        <v>111</v>
      </c>
      <c r="N8" s="27">
        <f t="shared" si="0"/>
        <v>54</v>
      </c>
      <c r="O8" s="27">
        <f t="shared" si="0"/>
        <v>54</v>
      </c>
      <c r="P8" s="27">
        <f t="shared" si="0"/>
        <v>74</v>
      </c>
      <c r="Q8" s="27">
        <f t="shared" si="0"/>
        <v>34</v>
      </c>
      <c r="R8" s="27">
        <f t="shared" si="0"/>
        <v>62</v>
      </c>
      <c r="S8" s="27">
        <f t="shared" si="0"/>
        <v>37</v>
      </c>
      <c r="T8" s="27">
        <f t="shared" si="0"/>
        <v>22</v>
      </c>
      <c r="U8" s="27">
        <f t="shared" si="0"/>
        <v>32</v>
      </c>
      <c r="V8" s="27">
        <f t="shared" si="0"/>
        <v>73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12"/>
      <c r="AN8" s="105"/>
      <c r="AO8" s="10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3" x14ac:dyDescent="0.3">
      <c r="A9" s="128" t="str">
        <f>Drivers!AN7</f>
        <v>Gehman (1)</v>
      </c>
      <c r="B9" s="50" t="str">
        <f>Drivers!AO7</f>
        <v>Byron</v>
      </c>
      <c r="C9" s="38">
        <f>Drivers!C24</f>
        <v>25</v>
      </c>
      <c r="D9" s="38">
        <f>Drivers!D24</f>
        <v>25</v>
      </c>
      <c r="E9" s="38">
        <f>Drivers!E24</f>
        <v>26</v>
      </c>
      <c r="F9" s="38">
        <f>Drivers!F24</f>
        <v>32</v>
      </c>
      <c r="G9" s="38">
        <f>Drivers!G24</f>
        <v>49</v>
      </c>
      <c r="H9" s="38">
        <f>Drivers!H24</f>
        <v>34</v>
      </c>
      <c r="I9" s="38">
        <f>Drivers!I24</f>
        <v>47</v>
      </c>
      <c r="J9" s="38">
        <f>Drivers!J24</f>
        <v>7</v>
      </c>
      <c r="K9" s="38">
        <f>Drivers!K24</f>
        <v>30</v>
      </c>
      <c r="L9" s="38">
        <f>Drivers!L24</f>
        <v>2</v>
      </c>
      <c r="M9" s="38">
        <f>Drivers!M24</f>
        <v>31</v>
      </c>
      <c r="N9" s="38">
        <f>Drivers!N24</f>
        <v>1</v>
      </c>
      <c r="O9" s="38">
        <f>Drivers!O24</f>
        <v>28</v>
      </c>
      <c r="P9" s="38">
        <f>Drivers!P24</f>
        <v>15</v>
      </c>
      <c r="Q9" s="38">
        <f>Drivers!Q24</f>
        <v>25</v>
      </c>
      <c r="R9" s="38">
        <f>Drivers!R24</f>
        <v>38</v>
      </c>
      <c r="S9" s="38">
        <f>Drivers!S24</f>
        <v>6</v>
      </c>
      <c r="T9" s="38">
        <f>Drivers!T24</f>
        <v>25</v>
      </c>
      <c r="U9" s="38">
        <f>Drivers!U24</f>
        <v>53</v>
      </c>
      <c r="V9" s="38">
        <f>Drivers!V24</f>
        <v>21</v>
      </c>
      <c r="W9" s="38">
        <f>Drivers!W24</f>
        <v>0</v>
      </c>
      <c r="X9" s="38">
        <f>Drivers!X24</f>
        <v>0</v>
      </c>
      <c r="Y9" s="38">
        <f>Drivers!Y24</f>
        <v>0</v>
      </c>
      <c r="Z9" s="38">
        <f>Drivers!Z24</f>
        <v>0</v>
      </c>
      <c r="AA9" s="38">
        <f>Drivers!AA24</f>
        <v>0</v>
      </c>
      <c r="AB9" s="38">
        <f>Drivers!AB24</f>
        <v>0</v>
      </c>
      <c r="AC9" s="38">
        <f>Drivers!AC24</f>
        <v>0</v>
      </c>
      <c r="AD9" s="38">
        <f>Drivers!AD24</f>
        <v>0</v>
      </c>
      <c r="AE9" s="38">
        <f>Drivers!AE24</f>
        <v>0</v>
      </c>
      <c r="AF9" s="38">
        <f>Drivers!AF24</f>
        <v>0</v>
      </c>
      <c r="AG9" s="38">
        <f>Drivers!AG24</f>
        <v>0</v>
      </c>
      <c r="AH9" s="38">
        <f>Drivers!AH24</f>
        <v>0</v>
      </c>
      <c r="AI9" s="38">
        <f>Drivers!AI24</f>
        <v>0</v>
      </c>
      <c r="AJ9" s="38">
        <f>Drivers!AJ24</f>
        <v>0</v>
      </c>
      <c r="AK9" s="38">
        <f>Drivers!AK24</f>
        <v>0</v>
      </c>
      <c r="AL9" s="38">
        <f>Drivers!AL24</f>
        <v>0</v>
      </c>
      <c r="AM9" s="113">
        <f>SUM(C11:AL11)</f>
        <v>949</v>
      </c>
      <c r="AN9" s="107">
        <f>RANK($AM$6:$AM$35,$AM$6:$AM$35,1&gt;10)</f>
        <v>7</v>
      </c>
      <c r="AO9" s="101">
        <f t="shared" ref="AO9" si="1">AVERAGE(C11:AL11)</f>
        <v>26.361111111111111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3">
      <c r="A10" s="127"/>
      <c r="B10" s="78" t="str">
        <f>Drivers!AO8</f>
        <v>Logano</v>
      </c>
      <c r="C10" s="26">
        <f>Drivers!C4</f>
        <v>17</v>
      </c>
      <c r="D10" s="26">
        <f>Drivers!D4</f>
        <v>34</v>
      </c>
      <c r="E10" s="26">
        <f>Drivers!E4</f>
        <v>13</v>
      </c>
      <c r="F10" s="26">
        <f>Drivers!F4</f>
        <v>10</v>
      </c>
      <c r="G10" s="26">
        <f>Drivers!G4</f>
        <v>20</v>
      </c>
      <c r="H10" s="26">
        <f>Drivers!H4</f>
        <v>21</v>
      </c>
      <c r="I10" s="26">
        <f>Drivers!I4</f>
        <v>21</v>
      </c>
      <c r="J10" s="26">
        <f>Drivers!J4</f>
        <v>17</v>
      </c>
      <c r="K10" s="26">
        <f>Drivers!K4</f>
        <v>11</v>
      </c>
      <c r="L10" s="26">
        <f>Drivers!L4</f>
        <v>41</v>
      </c>
      <c r="M10" s="26">
        <f>Drivers!M4</f>
        <v>11</v>
      </c>
      <c r="N10" s="26">
        <f>Drivers!N4</f>
        <v>20</v>
      </c>
      <c r="O10" s="26">
        <f>Drivers!O22</f>
        <v>29</v>
      </c>
      <c r="P10" s="26">
        <f>Drivers!P22</f>
        <v>23</v>
      </c>
      <c r="Q10" s="26">
        <f>Drivers!Q22</f>
        <v>32</v>
      </c>
      <c r="R10" s="26">
        <f>Drivers!R22</f>
        <v>5</v>
      </c>
      <c r="S10" s="26">
        <f>Drivers!S22</f>
        <v>23</v>
      </c>
      <c r="T10" s="26">
        <f>Drivers!T22</f>
        <v>13</v>
      </c>
      <c r="U10" s="26">
        <f>Drivers!U22</f>
        <v>25</v>
      </c>
      <c r="V10" s="26">
        <f>Drivers!V22</f>
        <v>43</v>
      </c>
      <c r="W10" s="26">
        <f>Drivers!W22</f>
        <v>0</v>
      </c>
      <c r="X10" s="26">
        <f>Drivers!X22</f>
        <v>0</v>
      </c>
      <c r="Y10" s="26">
        <f>Drivers!Y22</f>
        <v>0</v>
      </c>
      <c r="Z10" s="26">
        <f>Drivers!Z22</f>
        <v>0</v>
      </c>
      <c r="AA10" s="26">
        <f>Drivers!AA22</f>
        <v>0</v>
      </c>
      <c r="AB10" s="26">
        <f>Drivers!AB22</f>
        <v>0</v>
      </c>
      <c r="AC10" s="26">
        <f>Drivers!AC22</f>
        <v>0</v>
      </c>
      <c r="AD10" s="26">
        <f>Drivers!AD22</f>
        <v>0</v>
      </c>
      <c r="AE10" s="26">
        <f>Drivers!AE22</f>
        <v>0</v>
      </c>
      <c r="AF10" s="26">
        <f>Drivers!AF22</f>
        <v>0</v>
      </c>
      <c r="AG10" s="26">
        <f>Drivers!AG22</f>
        <v>0</v>
      </c>
      <c r="AH10" s="26">
        <f>Drivers!AH22</f>
        <v>0</v>
      </c>
      <c r="AI10" s="26">
        <f>Drivers!AI22</f>
        <v>0</v>
      </c>
      <c r="AJ10" s="26">
        <f>Drivers!AJ22</f>
        <v>0</v>
      </c>
      <c r="AK10" s="26">
        <f>Drivers!AK22</f>
        <v>0</v>
      </c>
      <c r="AL10" s="26">
        <f>Drivers!AL22</f>
        <v>0</v>
      </c>
      <c r="AM10" s="112"/>
      <c r="AN10" s="105"/>
      <c r="AO10" s="102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35">
      <c r="A11" s="129"/>
      <c r="B11" s="51"/>
      <c r="C11" s="44">
        <f>SUM(C9+C10)</f>
        <v>42</v>
      </c>
      <c r="D11" s="44">
        <f t="shared" ref="D11" si="2">SUM(D9+D10)</f>
        <v>59</v>
      </c>
      <c r="E11" s="44">
        <f t="shared" ref="E11" si="3">SUM(E9+E10)</f>
        <v>39</v>
      </c>
      <c r="F11" s="44">
        <f t="shared" ref="F11" si="4">SUM(F9+F10)</f>
        <v>42</v>
      </c>
      <c r="G11" s="44">
        <f t="shared" ref="G11" si="5">SUM(G9+G10)</f>
        <v>69</v>
      </c>
      <c r="H11" s="44">
        <f t="shared" ref="H11" si="6">SUM(H9+H10)</f>
        <v>55</v>
      </c>
      <c r="I11" s="44">
        <f t="shared" ref="I11" si="7">SUM(I9+I10)</f>
        <v>68</v>
      </c>
      <c r="J11" s="44">
        <f t="shared" ref="J11" si="8">SUM(J9+J10)</f>
        <v>24</v>
      </c>
      <c r="K11" s="44">
        <f t="shared" ref="K11" si="9">SUM(K9+K10)</f>
        <v>41</v>
      </c>
      <c r="L11" s="45">
        <f t="shared" ref="L11" si="10">SUM(L9+L10)</f>
        <v>43</v>
      </c>
      <c r="M11" s="44">
        <f t="shared" ref="M11" si="11">SUM(M9+M10)</f>
        <v>42</v>
      </c>
      <c r="N11" s="44">
        <f t="shared" ref="N11" si="12">SUM(N9+N10)</f>
        <v>21</v>
      </c>
      <c r="O11" s="44">
        <f t="shared" ref="O11" si="13">SUM(O9+O10)</f>
        <v>57</v>
      </c>
      <c r="P11" s="44">
        <f t="shared" ref="P11" si="14">SUM(P9+P10)</f>
        <v>38</v>
      </c>
      <c r="Q11" s="44">
        <f t="shared" ref="Q11" si="15">SUM(Q9+Q10)</f>
        <v>57</v>
      </c>
      <c r="R11" s="44">
        <f t="shared" ref="R11" si="16">SUM(R9+R10)</f>
        <v>43</v>
      </c>
      <c r="S11" s="44">
        <f t="shared" ref="S11" si="17">SUM(S9+S10)</f>
        <v>29</v>
      </c>
      <c r="T11" s="44">
        <f t="shared" ref="T11" si="18">SUM(T9+T10)</f>
        <v>38</v>
      </c>
      <c r="U11" s="44">
        <f t="shared" ref="U11" si="19">SUM(U9+U10)</f>
        <v>78</v>
      </c>
      <c r="V11" s="44">
        <f t="shared" ref="V11" si="20">SUM(V9+V10)</f>
        <v>64</v>
      </c>
      <c r="W11" s="44">
        <f t="shared" ref="W11" si="21">SUM(W9+W10)</f>
        <v>0</v>
      </c>
      <c r="X11" s="44">
        <f t="shared" ref="X11" si="22">SUM(X9+X10)</f>
        <v>0</v>
      </c>
      <c r="Y11" s="44">
        <f t="shared" ref="Y11" si="23">SUM(Y9+Y10)</f>
        <v>0</v>
      </c>
      <c r="Z11" s="44">
        <f t="shared" ref="Z11" si="24">SUM(Z9+Z10)</f>
        <v>0</v>
      </c>
      <c r="AA11" s="44">
        <f t="shared" ref="AA11" si="25">SUM(AA9+AA10)</f>
        <v>0</v>
      </c>
      <c r="AB11" s="44">
        <f t="shared" ref="AB11" si="26">SUM(AB9+AB10)</f>
        <v>0</v>
      </c>
      <c r="AC11" s="45">
        <f t="shared" ref="AC11" si="27">SUM(AC9+AC10)</f>
        <v>0</v>
      </c>
      <c r="AD11" s="44">
        <f t="shared" ref="AD11" si="28">SUM(AD9+AD10)</f>
        <v>0</v>
      </c>
      <c r="AE11" s="44">
        <f t="shared" ref="AE11" si="29">SUM(AE9+AE10)</f>
        <v>0</v>
      </c>
      <c r="AF11" s="44">
        <f t="shared" ref="AF11" si="30">SUM(AF9+AF10)</f>
        <v>0</v>
      </c>
      <c r="AG11" s="44">
        <f t="shared" ref="AG11" si="31">SUM(AG9+AG10)</f>
        <v>0</v>
      </c>
      <c r="AH11" s="44">
        <f t="shared" ref="AH11" si="32">SUM(AH9+AH10)</f>
        <v>0</v>
      </c>
      <c r="AI11" s="44">
        <f t="shared" ref="AI11" si="33">SUM(AI9+AI10)</f>
        <v>0</v>
      </c>
      <c r="AJ11" s="44">
        <f t="shared" ref="AJ11" si="34">SUM(AJ9+AJ10)</f>
        <v>0</v>
      </c>
      <c r="AK11" s="44">
        <f t="shared" ref="AK11" si="35">SUM(AK9+AK10)</f>
        <v>0</v>
      </c>
      <c r="AL11" s="46">
        <f t="shared" ref="AL11" si="36">SUM(AL9+AL10)</f>
        <v>0</v>
      </c>
      <c r="AM11" s="114"/>
      <c r="AN11" s="108"/>
      <c r="AO11" s="10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3">
      <c r="A12" s="128" t="str">
        <f>Drivers!AN10</f>
        <v>Hackman</v>
      </c>
      <c r="B12" s="50" t="str">
        <f>Drivers!AO10</f>
        <v>Bell</v>
      </c>
      <c r="C12" s="38">
        <f>Drivers!C20</f>
        <v>2</v>
      </c>
      <c r="D12" s="38">
        <f>Drivers!D20</f>
        <v>16</v>
      </c>
      <c r="E12" s="38">
        <f>Drivers!E20</f>
        <v>34</v>
      </c>
      <c r="F12" s="38">
        <f>Drivers!F20</f>
        <v>54</v>
      </c>
      <c r="G12" s="38">
        <f>Drivers!G20</f>
        <v>51</v>
      </c>
      <c r="H12" s="38">
        <f>Drivers!H20</f>
        <v>18</v>
      </c>
      <c r="I12" s="38">
        <f>Drivers!I20</f>
        <v>30</v>
      </c>
      <c r="J12" s="38">
        <f>Drivers!J20</f>
        <v>19</v>
      </c>
      <c r="K12" s="38">
        <f>Drivers!K20</f>
        <v>30</v>
      </c>
      <c r="L12" s="38">
        <f>Drivers!L20</f>
        <v>29</v>
      </c>
      <c r="M12" s="38">
        <f>Drivers!M20</f>
        <v>1</v>
      </c>
      <c r="N12" s="38">
        <f>Drivers!N20</f>
        <v>20</v>
      </c>
      <c r="O12" s="38">
        <f>Drivers!O20</f>
        <v>50</v>
      </c>
      <c r="P12" s="38">
        <f>Drivers!P20</f>
        <v>38</v>
      </c>
      <c r="Q12" s="38">
        <f>Drivers!Q20</f>
        <v>11</v>
      </c>
      <c r="R12" s="38">
        <f>Drivers!R20</f>
        <v>11</v>
      </c>
      <c r="S12" s="38">
        <f>Drivers!S20</f>
        <v>1</v>
      </c>
      <c r="T12" s="38">
        <f>Drivers!T20</f>
        <v>50</v>
      </c>
      <c r="U12" s="38">
        <f>Drivers!U20</f>
        <v>40</v>
      </c>
      <c r="V12" s="38">
        <f>Drivers!V20</f>
        <v>39</v>
      </c>
      <c r="W12" s="38">
        <f>Drivers!W20</f>
        <v>0</v>
      </c>
      <c r="X12" s="38">
        <f>Drivers!X20</f>
        <v>0</v>
      </c>
      <c r="Y12" s="38">
        <f>Drivers!Y20</f>
        <v>0</v>
      </c>
      <c r="Z12" s="38">
        <f>Drivers!Z20</f>
        <v>0</v>
      </c>
      <c r="AA12" s="38">
        <f>Drivers!AA20</f>
        <v>0</v>
      </c>
      <c r="AB12" s="38">
        <f>Drivers!AB20</f>
        <v>0</v>
      </c>
      <c r="AC12" s="38">
        <f>Drivers!AC20</f>
        <v>0</v>
      </c>
      <c r="AD12" s="38">
        <f>Drivers!AD20</f>
        <v>0</v>
      </c>
      <c r="AE12" s="38">
        <f>Drivers!AE20</f>
        <v>0</v>
      </c>
      <c r="AF12" s="38">
        <f>Drivers!AF20</f>
        <v>0</v>
      </c>
      <c r="AG12" s="38">
        <f>Drivers!AG20</f>
        <v>0</v>
      </c>
      <c r="AH12" s="38">
        <f>Drivers!AH20</f>
        <v>0</v>
      </c>
      <c r="AI12" s="38">
        <f>Drivers!AI20</f>
        <v>0</v>
      </c>
      <c r="AJ12" s="38">
        <f>Drivers!AJ20</f>
        <v>0</v>
      </c>
      <c r="AK12" s="38">
        <f>Drivers!AK20</f>
        <v>0</v>
      </c>
      <c r="AL12" s="38">
        <f>Drivers!AL20</f>
        <v>0</v>
      </c>
      <c r="AM12" s="111">
        <f>SUM(C14:AL14)</f>
        <v>1111</v>
      </c>
      <c r="AN12" s="109">
        <f>RANK($AM$6:$AM$35,$AM$6:$AM$35,1&gt;10)</f>
        <v>3</v>
      </c>
      <c r="AO12" s="101">
        <f t="shared" ref="AO12" si="37">AVERAGE(C14:AL14)</f>
        <v>30.861111111111111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3" x14ac:dyDescent="0.3">
      <c r="A13" s="127"/>
      <c r="B13" s="49" t="str">
        <f>Drivers!AO11</f>
        <v>Buscher</v>
      </c>
      <c r="C13" s="26">
        <f>Drivers!C18</f>
        <v>39</v>
      </c>
      <c r="D13" s="26">
        <f>Drivers!D18</f>
        <v>22</v>
      </c>
      <c r="E13" s="26">
        <f>Drivers!E18</f>
        <v>19</v>
      </c>
      <c r="F13" s="26">
        <f>Drivers!F18</f>
        <v>30</v>
      </c>
      <c r="G13" s="26">
        <f>Drivers!G18</f>
        <v>35</v>
      </c>
      <c r="H13" s="26">
        <f>Drivers!H18</f>
        <v>42</v>
      </c>
      <c r="I13" s="26">
        <f>Drivers!I18</f>
        <v>18</v>
      </c>
      <c r="J13" s="26">
        <f>Drivers!J18</f>
        <v>24</v>
      </c>
      <c r="K13" s="26">
        <f>Drivers!K18</f>
        <v>29</v>
      </c>
      <c r="L13" s="26">
        <f>Drivers!L18</f>
        <v>50</v>
      </c>
      <c r="M13" s="26">
        <f>Drivers!M18</f>
        <v>36</v>
      </c>
      <c r="N13" s="26">
        <f>Drivers!N18</f>
        <v>30</v>
      </c>
      <c r="O13" s="26">
        <f>Drivers!O18</f>
        <v>10</v>
      </c>
      <c r="P13" s="26">
        <f>Drivers!P18</f>
        <v>8</v>
      </c>
      <c r="Q13" s="26">
        <f>Drivers!Q18</f>
        <v>31</v>
      </c>
      <c r="R13" s="26">
        <f>Drivers!R18</f>
        <v>37</v>
      </c>
      <c r="S13" s="26">
        <f>Drivers!S18</f>
        <v>39</v>
      </c>
      <c r="T13" s="26">
        <f>Drivers!T18</f>
        <v>18</v>
      </c>
      <c r="U13" s="26">
        <f>Drivers!U18</f>
        <v>23</v>
      </c>
      <c r="V13" s="26">
        <f>Drivers!V18</f>
        <v>27</v>
      </c>
      <c r="W13" s="26">
        <f>Drivers!W18</f>
        <v>0</v>
      </c>
      <c r="X13" s="26">
        <f>Drivers!X18</f>
        <v>0</v>
      </c>
      <c r="Y13" s="26">
        <f>Drivers!Y18</f>
        <v>0</v>
      </c>
      <c r="Z13" s="26">
        <f>Drivers!Z18</f>
        <v>0</v>
      </c>
      <c r="AA13" s="26">
        <f>Drivers!AA18</f>
        <v>0</v>
      </c>
      <c r="AB13" s="26">
        <f>Drivers!AB18</f>
        <v>0</v>
      </c>
      <c r="AC13" s="26">
        <f>Drivers!AC18</f>
        <v>0</v>
      </c>
      <c r="AD13" s="26">
        <f>Drivers!AD18</f>
        <v>0</v>
      </c>
      <c r="AE13" s="26">
        <f>Drivers!AE18</f>
        <v>0</v>
      </c>
      <c r="AF13" s="26">
        <f>Drivers!AF18</f>
        <v>0</v>
      </c>
      <c r="AG13" s="26">
        <f>Drivers!AG18</f>
        <v>0</v>
      </c>
      <c r="AH13" s="26">
        <f>Drivers!AH18</f>
        <v>0</v>
      </c>
      <c r="AI13" s="26">
        <f>Drivers!AI18</f>
        <v>0</v>
      </c>
      <c r="AJ13" s="26">
        <f>Drivers!AJ18</f>
        <v>0</v>
      </c>
      <c r="AK13" s="26">
        <f>Drivers!AK18</f>
        <v>0</v>
      </c>
      <c r="AL13" s="26">
        <f>Drivers!AL18</f>
        <v>0</v>
      </c>
      <c r="AM13" s="112"/>
      <c r="AN13" s="105"/>
      <c r="AO13" s="102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35">
      <c r="A14" s="129"/>
      <c r="B14" s="52"/>
      <c r="C14" s="44">
        <f>SUM(C12:C13)</f>
        <v>41</v>
      </c>
      <c r="D14" s="44">
        <f t="shared" ref="D14" si="38">SUM(D12+D13)</f>
        <v>38</v>
      </c>
      <c r="E14" s="44">
        <f t="shared" ref="E14" si="39">SUM(E12+E13)</f>
        <v>53</v>
      </c>
      <c r="F14" s="44">
        <f t="shared" ref="F14" si="40">SUM(F12+F13)</f>
        <v>84</v>
      </c>
      <c r="G14" s="44">
        <f t="shared" ref="G14" si="41">SUM(G12+G13)</f>
        <v>86</v>
      </c>
      <c r="H14" s="44">
        <f t="shared" ref="H14" si="42">SUM(H12+H13)</f>
        <v>60</v>
      </c>
      <c r="I14" s="44">
        <f t="shared" ref="I14" si="43">SUM(I12+I13)</f>
        <v>48</v>
      </c>
      <c r="J14" s="44">
        <f t="shared" ref="J14" si="44">SUM(J12+J13)</f>
        <v>43</v>
      </c>
      <c r="K14" s="44">
        <f t="shared" ref="K14" si="45">SUM(K12+K13)</f>
        <v>59</v>
      </c>
      <c r="L14" s="45">
        <f t="shared" ref="L14" si="46">SUM(L12+L13)</f>
        <v>79</v>
      </c>
      <c r="M14" s="44">
        <f t="shared" ref="M14" si="47">SUM(M12+M13)</f>
        <v>37</v>
      </c>
      <c r="N14" s="44">
        <f t="shared" ref="N14" si="48">SUM(N12+N13)</f>
        <v>50</v>
      </c>
      <c r="O14" s="44">
        <f t="shared" ref="O14" si="49">SUM(O12+O13)</f>
        <v>60</v>
      </c>
      <c r="P14" s="44">
        <f t="shared" ref="P14" si="50">SUM(P12+P13)</f>
        <v>46</v>
      </c>
      <c r="Q14" s="44">
        <f t="shared" ref="Q14" si="51">SUM(Q12+Q13)</f>
        <v>42</v>
      </c>
      <c r="R14" s="44">
        <f t="shared" ref="R14" si="52">SUM(R12+R13)</f>
        <v>48</v>
      </c>
      <c r="S14" s="44">
        <f t="shared" ref="S14" si="53">SUM(S12+S13)</f>
        <v>40</v>
      </c>
      <c r="T14" s="44">
        <f t="shared" ref="T14" si="54">SUM(T12+T13)</f>
        <v>68</v>
      </c>
      <c r="U14" s="44">
        <f t="shared" ref="U14" si="55">SUM(U12+U13)</f>
        <v>63</v>
      </c>
      <c r="V14" s="44">
        <f t="shared" ref="V14" si="56">SUM(V12+V13)</f>
        <v>66</v>
      </c>
      <c r="W14" s="44">
        <f t="shared" ref="W14" si="57">SUM(W12+W13)</f>
        <v>0</v>
      </c>
      <c r="X14" s="44">
        <f t="shared" ref="X14" si="58">SUM(X12+X13)</f>
        <v>0</v>
      </c>
      <c r="Y14" s="44">
        <f t="shared" ref="Y14" si="59">SUM(Y12+Y13)</f>
        <v>0</v>
      </c>
      <c r="Z14" s="44">
        <f t="shared" ref="Z14" si="60">SUM(Z12+Z13)</f>
        <v>0</v>
      </c>
      <c r="AA14" s="44">
        <f t="shared" ref="AA14" si="61">SUM(AA12+AA13)</f>
        <v>0</v>
      </c>
      <c r="AB14" s="44">
        <f t="shared" ref="AB14" si="62">SUM(AB12+AB13)</f>
        <v>0</v>
      </c>
      <c r="AC14" s="45">
        <f t="shared" ref="AC14" si="63">SUM(AC12+AC13)</f>
        <v>0</v>
      </c>
      <c r="AD14" s="44">
        <f t="shared" ref="AD14" si="64">SUM(AD12+AD13)</f>
        <v>0</v>
      </c>
      <c r="AE14" s="44">
        <f t="shared" ref="AE14" si="65">SUM(AE12+AE13)</f>
        <v>0</v>
      </c>
      <c r="AF14" s="44">
        <f t="shared" ref="AF14" si="66">SUM(AF12+AF13)</f>
        <v>0</v>
      </c>
      <c r="AG14" s="44">
        <f t="shared" ref="AG14" si="67">SUM(AG12+AG13)</f>
        <v>0</v>
      </c>
      <c r="AH14" s="44">
        <f t="shared" ref="AH14" si="68">SUM(AH12+AH13)</f>
        <v>0</v>
      </c>
      <c r="AI14" s="44">
        <f t="shared" ref="AI14" si="69">SUM(AI12+AI13)</f>
        <v>0</v>
      </c>
      <c r="AJ14" s="44">
        <f t="shared" ref="AJ14" si="70">SUM(AJ12+AJ13)</f>
        <v>0</v>
      </c>
      <c r="AK14" s="44">
        <f t="shared" ref="AK14" si="71">SUM(AK12+AK13)</f>
        <v>0</v>
      </c>
      <c r="AL14" s="46">
        <f t="shared" ref="AL14" si="72">SUM(AL12+AL13)</f>
        <v>0</v>
      </c>
      <c r="AM14" s="112"/>
      <c r="AN14" s="105"/>
      <c r="AO14" s="10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3">
      <c r="A15" s="128" t="str">
        <f>Drivers!AN13</f>
        <v>Tony (1)</v>
      </c>
      <c r="B15" s="50" t="str">
        <f>Drivers!AO13</f>
        <v>Briscoe</v>
      </c>
      <c r="C15" s="38">
        <f>Drivers!C19</f>
        <v>1</v>
      </c>
      <c r="D15" s="38">
        <f>Drivers!D19</f>
        <v>43</v>
      </c>
      <c r="E15" s="38">
        <f>Drivers!E19</f>
        <v>1</v>
      </c>
      <c r="F15" s="38">
        <f>Drivers!F19</f>
        <v>1</v>
      </c>
      <c r="G15" s="38">
        <f>Drivers!G19</f>
        <v>29</v>
      </c>
      <c r="H15" s="38">
        <f>Drivers!H19</f>
        <v>32</v>
      </c>
      <c r="I15" s="38">
        <f>Drivers!I19</f>
        <v>23</v>
      </c>
      <c r="J15" s="38">
        <f>Drivers!J19</f>
        <v>45</v>
      </c>
      <c r="K15" s="38">
        <f>Drivers!K19</f>
        <v>38</v>
      </c>
      <c r="L15" s="38">
        <f>Drivers!L19</f>
        <v>8</v>
      </c>
      <c r="M15" s="38">
        <f>Drivers!M19</f>
        <v>20</v>
      </c>
      <c r="N15" s="38">
        <f>Drivers!N19</f>
        <v>35</v>
      </c>
      <c r="O15" s="38">
        <f>Drivers!O19</f>
        <v>27</v>
      </c>
      <c r="P15" s="38">
        <f>Drivers!P19</f>
        <v>39</v>
      </c>
      <c r="Q15" s="38">
        <f>Drivers!Q19</f>
        <v>27</v>
      </c>
      <c r="R15" s="38">
        <f>Drivers!R19</f>
        <v>41</v>
      </c>
      <c r="S15" s="38">
        <f>Drivers!S19</f>
        <v>20</v>
      </c>
      <c r="T15" s="38">
        <f>Drivers!T19</f>
        <v>37</v>
      </c>
      <c r="U15" s="38">
        <f>Drivers!U19</f>
        <v>70</v>
      </c>
      <c r="V15" s="38">
        <f>Drivers!V19</f>
        <v>4</v>
      </c>
      <c r="W15" s="38">
        <f>Drivers!W19</f>
        <v>0</v>
      </c>
      <c r="X15" s="38">
        <f>Drivers!X19</f>
        <v>0</v>
      </c>
      <c r="Y15" s="38">
        <f>Drivers!Y19</f>
        <v>0</v>
      </c>
      <c r="Z15" s="38">
        <f>Drivers!Z19</f>
        <v>0</v>
      </c>
      <c r="AA15" s="38">
        <f>Drivers!AA19</f>
        <v>0</v>
      </c>
      <c r="AB15" s="38">
        <f>Drivers!AB19</f>
        <v>0</v>
      </c>
      <c r="AC15" s="38">
        <f>Drivers!AC19</f>
        <v>0</v>
      </c>
      <c r="AD15" s="38">
        <f>Drivers!AD19</f>
        <v>0</v>
      </c>
      <c r="AE15" s="38">
        <f>Drivers!AE19</f>
        <v>0</v>
      </c>
      <c r="AF15" s="38">
        <f>Drivers!AF19</f>
        <v>0</v>
      </c>
      <c r="AG15" s="38">
        <f>Drivers!AG19</f>
        <v>0</v>
      </c>
      <c r="AH15" s="38">
        <f>Drivers!AH19</f>
        <v>0</v>
      </c>
      <c r="AI15" s="38">
        <f>Drivers!AI19</f>
        <v>0</v>
      </c>
      <c r="AJ15" s="38">
        <f>Drivers!AJ19</f>
        <v>0</v>
      </c>
      <c r="AK15" s="38">
        <f>Drivers!AK19</f>
        <v>0</v>
      </c>
      <c r="AL15" s="38">
        <f>Drivers!AL19</f>
        <v>0</v>
      </c>
      <c r="AM15" s="113">
        <f>SUM(C17:AL17)</f>
        <v>996</v>
      </c>
      <c r="AN15" s="107">
        <f>RANK($AM$6:$AM$35,$AM$6:$AM$35,1&gt;10)</f>
        <v>5</v>
      </c>
      <c r="AO15" s="101">
        <f t="shared" ref="AO15" si="73">AVERAGE(C17:AL17)</f>
        <v>27.666666666666668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3" x14ac:dyDescent="0.3">
      <c r="A16" s="127"/>
      <c r="B16" s="78" t="str">
        <f>Drivers!AO14</f>
        <v>Hosevar</v>
      </c>
      <c r="C16" s="26">
        <f>Drivers!C22</f>
        <v>36</v>
      </c>
      <c r="D16" s="26">
        <f>Drivers!D22</f>
        <v>22</v>
      </c>
      <c r="E16" s="26">
        <f>Drivers!E22</f>
        <v>22</v>
      </c>
      <c r="F16" s="26">
        <f>Drivers!F22</f>
        <v>23</v>
      </c>
      <c r="G16" s="26">
        <f>Drivers!G22</f>
        <v>22</v>
      </c>
      <c r="H16" s="26">
        <f>Drivers!H22</f>
        <v>4</v>
      </c>
      <c r="I16" s="26">
        <f>Drivers!I22</f>
        <v>46</v>
      </c>
      <c r="J16" s="26">
        <f>Drivers!J22</f>
        <v>33</v>
      </c>
      <c r="K16" s="26">
        <f>Drivers!K22</f>
        <v>7</v>
      </c>
      <c r="L16" s="26">
        <f>Drivers!L22</f>
        <v>9</v>
      </c>
      <c r="M16" s="26">
        <f>Drivers!M22</f>
        <v>1</v>
      </c>
      <c r="N16" s="26">
        <f>Drivers!N42</f>
        <v>9</v>
      </c>
      <c r="O16" s="26">
        <f>Drivers!O42</f>
        <v>14</v>
      </c>
      <c r="P16" s="26">
        <f>Drivers!P42</f>
        <v>27</v>
      </c>
      <c r="Q16" s="26">
        <f>Drivers!Q42</f>
        <v>45</v>
      </c>
      <c r="R16" s="26">
        <f>Drivers!R42</f>
        <v>21</v>
      </c>
      <c r="S16" s="26">
        <f>Drivers!S42</f>
        <v>27</v>
      </c>
      <c r="T16" s="26">
        <f>Drivers!T42</f>
        <v>33</v>
      </c>
      <c r="U16" s="26">
        <f>Drivers!U42</f>
        <v>15</v>
      </c>
      <c r="V16" s="26">
        <f>Drivers!V42</f>
        <v>39</v>
      </c>
      <c r="W16" s="26">
        <f>Drivers!W42</f>
        <v>0</v>
      </c>
      <c r="X16" s="26">
        <f>Drivers!X42</f>
        <v>0</v>
      </c>
      <c r="Y16" s="26">
        <f>Drivers!Y42</f>
        <v>0</v>
      </c>
      <c r="Z16" s="26">
        <f>Drivers!Z42</f>
        <v>0</v>
      </c>
      <c r="AA16" s="26">
        <f>Drivers!AA42</f>
        <v>0</v>
      </c>
      <c r="AB16" s="26">
        <f>Drivers!AB42</f>
        <v>0</v>
      </c>
      <c r="AC16" s="26">
        <f>Drivers!AC42</f>
        <v>0</v>
      </c>
      <c r="AD16" s="26">
        <f>Drivers!AD42</f>
        <v>0</v>
      </c>
      <c r="AE16" s="26">
        <f>Drivers!AE42</f>
        <v>0</v>
      </c>
      <c r="AF16" s="26">
        <f>Drivers!AF42</f>
        <v>0</v>
      </c>
      <c r="AG16" s="26">
        <f>Drivers!AG42</f>
        <v>0</v>
      </c>
      <c r="AH16" s="26">
        <f>Drivers!AH42</f>
        <v>0</v>
      </c>
      <c r="AI16" s="26">
        <f>Drivers!AI42</f>
        <v>0</v>
      </c>
      <c r="AJ16" s="26">
        <f>Drivers!AJ42</f>
        <v>0</v>
      </c>
      <c r="AK16" s="26">
        <f>Drivers!AK42</f>
        <v>0</v>
      </c>
      <c r="AL16" s="26">
        <f>Drivers!AL42</f>
        <v>0</v>
      </c>
      <c r="AM16" s="112"/>
      <c r="AN16" s="105"/>
      <c r="AO16" s="102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35">
      <c r="A17" s="129"/>
      <c r="B17" s="52"/>
      <c r="C17" s="44">
        <f>SUM(C15+C16)</f>
        <v>37</v>
      </c>
      <c r="D17" s="44">
        <f t="shared" ref="D17" si="74">SUM(D15+D16)</f>
        <v>65</v>
      </c>
      <c r="E17" s="44">
        <f t="shared" ref="E17" si="75">SUM(E15+E16)</f>
        <v>23</v>
      </c>
      <c r="F17" s="44">
        <f t="shared" ref="F17" si="76">SUM(F15+F16)</f>
        <v>24</v>
      </c>
      <c r="G17" s="44">
        <f t="shared" ref="G17" si="77">SUM(G15+G16)</f>
        <v>51</v>
      </c>
      <c r="H17" s="44">
        <f t="shared" ref="H17" si="78">SUM(H15+H16)</f>
        <v>36</v>
      </c>
      <c r="I17" s="44">
        <f t="shared" ref="I17" si="79">SUM(I15+I16)</f>
        <v>69</v>
      </c>
      <c r="J17" s="44">
        <f t="shared" ref="J17" si="80">SUM(J15+J16)</f>
        <v>78</v>
      </c>
      <c r="K17" s="44">
        <f t="shared" ref="K17" si="81">SUM(K15+K16)</f>
        <v>45</v>
      </c>
      <c r="L17" s="45">
        <f t="shared" ref="L17" si="82">SUM(L15+L16)</f>
        <v>17</v>
      </c>
      <c r="M17" s="44">
        <f t="shared" ref="M17" si="83">SUM(M15+M16)</f>
        <v>21</v>
      </c>
      <c r="N17" s="44">
        <f t="shared" ref="N17" si="84">SUM(N15+N16)</f>
        <v>44</v>
      </c>
      <c r="O17" s="44">
        <f t="shared" ref="O17" si="85">SUM(O15+O16)</f>
        <v>41</v>
      </c>
      <c r="P17" s="44">
        <f t="shared" ref="P17" si="86">SUM(P15+P16)</f>
        <v>66</v>
      </c>
      <c r="Q17" s="44">
        <f t="shared" ref="Q17" si="87">SUM(Q15+Q16)</f>
        <v>72</v>
      </c>
      <c r="R17" s="44">
        <f t="shared" ref="R17" si="88">SUM(R15+R16)</f>
        <v>62</v>
      </c>
      <c r="S17" s="44">
        <f t="shared" ref="S17" si="89">SUM(S15+S16)</f>
        <v>47</v>
      </c>
      <c r="T17" s="44">
        <f t="shared" ref="T17" si="90">SUM(T15+T16)</f>
        <v>70</v>
      </c>
      <c r="U17" s="44">
        <f t="shared" ref="U17" si="91">SUM(U15+U16)</f>
        <v>85</v>
      </c>
      <c r="V17" s="44">
        <f t="shared" ref="V17" si="92">SUM(V15+V16)</f>
        <v>43</v>
      </c>
      <c r="W17" s="44">
        <f t="shared" ref="W17" si="93">SUM(W15+W16)</f>
        <v>0</v>
      </c>
      <c r="X17" s="44">
        <f t="shared" ref="X17" si="94">SUM(X15+X16)</f>
        <v>0</v>
      </c>
      <c r="Y17" s="44">
        <f t="shared" ref="Y17" si="95">SUM(Y15+Y16)</f>
        <v>0</v>
      </c>
      <c r="Z17" s="44">
        <f t="shared" ref="Z17" si="96">SUM(Z15+Z16)</f>
        <v>0</v>
      </c>
      <c r="AA17" s="44">
        <f t="shared" ref="AA17" si="97">SUM(AA15+AA16)</f>
        <v>0</v>
      </c>
      <c r="AB17" s="44">
        <f t="shared" ref="AB17" si="98">SUM(AB15+AB16)</f>
        <v>0</v>
      </c>
      <c r="AC17" s="45">
        <f t="shared" ref="AC17" si="99">SUM(AC15+AC16)</f>
        <v>0</v>
      </c>
      <c r="AD17" s="44">
        <f t="shared" ref="AD17" si="100">SUM(AD15+AD16)</f>
        <v>0</v>
      </c>
      <c r="AE17" s="44">
        <f t="shared" ref="AE17" si="101">SUM(AE15+AE16)</f>
        <v>0</v>
      </c>
      <c r="AF17" s="44">
        <f t="shared" ref="AF17" si="102">SUM(AF15+AF16)</f>
        <v>0</v>
      </c>
      <c r="AG17" s="44">
        <f t="shared" ref="AG17" si="103">SUM(AG15+AG16)</f>
        <v>0</v>
      </c>
      <c r="AH17" s="44">
        <f t="shared" ref="AH17" si="104">SUM(AH15+AH16)</f>
        <v>0</v>
      </c>
      <c r="AI17" s="44">
        <f t="shared" ref="AI17" si="105">SUM(AI15+AI16)</f>
        <v>0</v>
      </c>
      <c r="AJ17" s="44">
        <f t="shared" ref="AJ17" si="106">SUM(AJ15+AJ16)</f>
        <v>0</v>
      </c>
      <c r="AK17" s="44">
        <f t="shared" ref="AK17" si="107">SUM(AK15+AK16)</f>
        <v>0</v>
      </c>
      <c r="AL17" s="46">
        <f t="shared" ref="AL17" si="108">SUM(AL15+AL16)</f>
        <v>0</v>
      </c>
      <c r="AM17" s="114"/>
      <c r="AN17" s="108"/>
      <c r="AO17" s="10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3">
      <c r="A18" s="128" t="str">
        <f>Drivers!AN16</f>
        <v>Gass</v>
      </c>
      <c r="B18" s="49" t="str">
        <f>Drivers!AO16</f>
        <v>Hamlin</v>
      </c>
      <c r="C18" s="38">
        <f>Drivers!C14</f>
        <v>6</v>
      </c>
      <c r="D18" s="38">
        <f>Drivers!D14</f>
        <v>24</v>
      </c>
      <c r="E18" s="38">
        <f>Drivers!E14</f>
        <v>28</v>
      </c>
      <c r="F18" s="38">
        <f>Drivers!F14</f>
        <v>47</v>
      </c>
      <c r="G18" s="38">
        <f>Drivers!G14</f>
        <v>70</v>
      </c>
      <c r="H18" s="38">
        <f>Drivers!H14</f>
        <v>26</v>
      </c>
      <c r="I18" s="38">
        <f>Drivers!I14</f>
        <v>56</v>
      </c>
      <c r="J18" s="38">
        <f>Drivers!J14</f>
        <v>41</v>
      </c>
      <c r="K18" s="38">
        <f>Drivers!K14</f>
        <v>52</v>
      </c>
      <c r="L18" s="38">
        <f>Drivers!L14</f>
        <v>22</v>
      </c>
      <c r="M18" s="38">
        <f>Drivers!M14</f>
        <v>43</v>
      </c>
      <c r="N18" s="38">
        <f>Drivers!N14</f>
        <v>21</v>
      </c>
      <c r="O18" s="38">
        <f>Drivers!O14</f>
        <v>60</v>
      </c>
      <c r="P18" s="38">
        <f>Drivers!P14</f>
        <v>62</v>
      </c>
      <c r="Q18" s="38">
        <f>Drivers!Q14</f>
        <v>58</v>
      </c>
      <c r="R18" s="38">
        <f>Drivers!R14</f>
        <v>67</v>
      </c>
      <c r="S18" s="38">
        <f>Drivers!S14</f>
        <v>23</v>
      </c>
      <c r="T18" s="38">
        <f>Drivers!T14</f>
        <v>11</v>
      </c>
      <c r="U18" s="38">
        <f>Drivers!U14</f>
        <v>45</v>
      </c>
      <c r="V18" s="38">
        <f>Drivers!V14</f>
        <v>27</v>
      </c>
      <c r="W18" s="38">
        <f>Drivers!W14</f>
        <v>0</v>
      </c>
      <c r="X18" s="38">
        <f>Drivers!X14</f>
        <v>0</v>
      </c>
      <c r="Y18" s="38">
        <f>Drivers!Y14</f>
        <v>0</v>
      </c>
      <c r="Z18" s="38">
        <f>Drivers!Z14</f>
        <v>0</v>
      </c>
      <c r="AA18" s="38">
        <f>Drivers!AA14</f>
        <v>0</v>
      </c>
      <c r="AB18" s="38">
        <f>Drivers!AB14</f>
        <v>0</v>
      </c>
      <c r="AC18" s="38">
        <f>Drivers!AC14</f>
        <v>0</v>
      </c>
      <c r="AD18" s="38">
        <f>Drivers!AD14</f>
        <v>0</v>
      </c>
      <c r="AE18" s="38">
        <f>Drivers!AE14</f>
        <v>0</v>
      </c>
      <c r="AF18" s="38">
        <f>Drivers!AF14</f>
        <v>0</v>
      </c>
      <c r="AG18" s="38">
        <f>Drivers!AG14</f>
        <v>0</v>
      </c>
      <c r="AH18" s="38">
        <f>Drivers!AH14</f>
        <v>0</v>
      </c>
      <c r="AI18" s="38">
        <f>Drivers!AI14</f>
        <v>0</v>
      </c>
      <c r="AJ18" s="38">
        <f>Drivers!AJ14</f>
        <v>0</v>
      </c>
      <c r="AK18" s="38">
        <f>Drivers!AK14</f>
        <v>0</v>
      </c>
      <c r="AL18" s="38">
        <f>Drivers!AL14</f>
        <v>0</v>
      </c>
      <c r="AM18" s="113">
        <f>SUM(C20:AL20)</f>
        <v>1452</v>
      </c>
      <c r="AN18" s="109">
        <f>RANK($AM$6:$AM$35,$AM$6:$AM$35,1&gt;10)</f>
        <v>1</v>
      </c>
      <c r="AO18" s="101">
        <f t="shared" ref="AO18" si="109">AVERAGE(C20:AL20)</f>
        <v>40.333333333333336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3" x14ac:dyDescent="0.3">
      <c r="A19" s="127"/>
      <c r="B19" s="49" t="str">
        <f>Drivers!AO17</f>
        <v>Gibbs</v>
      </c>
      <c r="C19" s="26">
        <f>Drivers!C39</f>
        <v>14</v>
      </c>
      <c r="D19" s="26">
        <f>Drivers!D39</f>
        <v>1</v>
      </c>
      <c r="E19" s="26">
        <f>Drivers!E39</f>
        <v>48</v>
      </c>
      <c r="F19" s="26">
        <f>Drivers!F39</f>
        <v>36</v>
      </c>
      <c r="G19" s="26">
        <f>Drivers!G39</f>
        <v>39</v>
      </c>
      <c r="H19" s="26">
        <f>Drivers!H39</f>
        <v>33</v>
      </c>
      <c r="I19" s="26">
        <f>Drivers!I39</f>
        <v>49</v>
      </c>
      <c r="J19" s="26">
        <f>Drivers!J39</f>
        <v>59</v>
      </c>
      <c r="K19" s="26">
        <f>Drivers!K39</f>
        <v>38</v>
      </c>
      <c r="L19" s="26">
        <f>Drivers!L39</f>
        <v>3</v>
      </c>
      <c r="M19" s="26">
        <f>Drivers!M39</f>
        <v>8</v>
      </c>
      <c r="N19" s="26">
        <f>Drivers!N39</f>
        <v>42</v>
      </c>
      <c r="O19" s="26">
        <f>Drivers!O39</f>
        <v>53</v>
      </c>
      <c r="P19" s="26">
        <f>Drivers!P39</f>
        <v>24</v>
      </c>
      <c r="Q19" s="26">
        <f>Drivers!Q39</f>
        <v>21</v>
      </c>
      <c r="R19" s="26">
        <f>Drivers!R39</f>
        <v>36</v>
      </c>
      <c r="S19" s="26">
        <f>Drivers!S39</f>
        <v>29</v>
      </c>
      <c r="T19" s="26">
        <f>Drivers!T39</f>
        <v>54</v>
      </c>
      <c r="U19" s="26">
        <f>Drivers!U39</f>
        <v>38</v>
      </c>
      <c r="V19" s="26">
        <f>Drivers!V39</f>
        <v>38</v>
      </c>
      <c r="W19" s="26">
        <f>Drivers!W39</f>
        <v>0</v>
      </c>
      <c r="X19" s="26">
        <f>Drivers!X39</f>
        <v>0</v>
      </c>
      <c r="Y19" s="26">
        <f>Drivers!Y39</f>
        <v>0</v>
      </c>
      <c r="Z19" s="26">
        <f>Drivers!Z39</f>
        <v>0</v>
      </c>
      <c r="AA19" s="26">
        <f>Drivers!AA39</f>
        <v>0</v>
      </c>
      <c r="AB19" s="26">
        <f>Drivers!AB39</f>
        <v>0</v>
      </c>
      <c r="AC19" s="26">
        <f>Drivers!AC39</f>
        <v>0</v>
      </c>
      <c r="AD19" s="26">
        <f>Drivers!AD39</f>
        <v>0</v>
      </c>
      <c r="AE19" s="26">
        <f>Drivers!AE39</f>
        <v>0</v>
      </c>
      <c r="AF19" s="26">
        <f>Drivers!AF39</f>
        <v>0</v>
      </c>
      <c r="AG19" s="26">
        <f>Drivers!AG39</f>
        <v>0</v>
      </c>
      <c r="AH19" s="26">
        <f>Drivers!AH39</f>
        <v>0</v>
      </c>
      <c r="AI19" s="26">
        <f>Drivers!AI39</f>
        <v>0</v>
      </c>
      <c r="AJ19" s="26">
        <f>Drivers!AJ39</f>
        <v>0</v>
      </c>
      <c r="AK19" s="26">
        <f>Drivers!AK39</f>
        <v>0</v>
      </c>
      <c r="AL19" s="26">
        <f>Drivers!AL39</f>
        <v>0</v>
      </c>
      <c r="AM19" s="112"/>
      <c r="AN19" s="105"/>
      <c r="AO19" s="102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35">
      <c r="A20" s="129"/>
      <c r="B20" s="52"/>
      <c r="C20" s="44">
        <f>SUM(C18+C19)</f>
        <v>20</v>
      </c>
      <c r="D20" s="44">
        <f t="shared" ref="D20" si="110">SUM(D18+D19)</f>
        <v>25</v>
      </c>
      <c r="E20" s="44">
        <f t="shared" ref="E20" si="111">SUM(E18+E19)</f>
        <v>76</v>
      </c>
      <c r="F20" s="44">
        <f t="shared" ref="F20" si="112">SUM(F18+F19)</f>
        <v>83</v>
      </c>
      <c r="G20" s="44">
        <f t="shared" ref="G20" si="113">SUM(G18+G19)</f>
        <v>109</v>
      </c>
      <c r="H20" s="44">
        <f t="shared" ref="H20" si="114">SUM(H18+H19)</f>
        <v>59</v>
      </c>
      <c r="I20" s="44">
        <f t="shared" ref="I20" si="115">SUM(I18+I19)</f>
        <v>105</v>
      </c>
      <c r="J20" s="44">
        <f t="shared" ref="J20" si="116">SUM(J18+J19)</f>
        <v>100</v>
      </c>
      <c r="K20" s="44">
        <f t="shared" ref="K20" si="117">SUM(K18+K19)</f>
        <v>90</v>
      </c>
      <c r="L20" s="45">
        <f t="shared" ref="L20" si="118">SUM(L18+L19)</f>
        <v>25</v>
      </c>
      <c r="M20" s="44">
        <f t="shared" ref="M20" si="119">SUM(M18+M19)</f>
        <v>51</v>
      </c>
      <c r="N20" s="44">
        <f t="shared" ref="N20" si="120">SUM(N18+N19)</f>
        <v>63</v>
      </c>
      <c r="O20" s="44">
        <f t="shared" ref="O20" si="121">SUM(O18+O19)</f>
        <v>113</v>
      </c>
      <c r="P20" s="44">
        <f t="shared" ref="P20" si="122">SUM(P18+P19)</f>
        <v>86</v>
      </c>
      <c r="Q20" s="44">
        <f t="shared" ref="Q20" si="123">SUM(Q18+Q19)</f>
        <v>79</v>
      </c>
      <c r="R20" s="44">
        <f t="shared" ref="R20" si="124">SUM(R18+R19)</f>
        <v>103</v>
      </c>
      <c r="S20" s="44">
        <f t="shared" ref="S20" si="125">SUM(S18+S19)</f>
        <v>52</v>
      </c>
      <c r="T20" s="44">
        <f t="shared" ref="T20" si="126">SUM(T18+T19)</f>
        <v>65</v>
      </c>
      <c r="U20" s="44">
        <f t="shared" ref="U20" si="127">SUM(U18+U19)</f>
        <v>83</v>
      </c>
      <c r="V20" s="44">
        <f t="shared" ref="V20" si="128">SUM(V18+V19)</f>
        <v>65</v>
      </c>
      <c r="W20" s="44">
        <f t="shared" ref="W20" si="129">SUM(W18+W19)</f>
        <v>0</v>
      </c>
      <c r="X20" s="44">
        <f t="shared" ref="X20" si="130">SUM(X18+X19)</f>
        <v>0</v>
      </c>
      <c r="Y20" s="44">
        <f t="shared" ref="Y20" si="131">SUM(Y18+Y19)</f>
        <v>0</v>
      </c>
      <c r="Z20" s="44">
        <f t="shared" ref="Z20" si="132">SUM(Z18+Z19)</f>
        <v>0</v>
      </c>
      <c r="AA20" s="44">
        <f t="shared" ref="AA20" si="133">SUM(AA18+AA19)</f>
        <v>0</v>
      </c>
      <c r="AB20" s="44">
        <f t="shared" ref="AB20" si="134">SUM(AB18+AB19)</f>
        <v>0</v>
      </c>
      <c r="AC20" s="45">
        <f t="shared" ref="AC20" si="135">SUM(AC18+AC19)</f>
        <v>0</v>
      </c>
      <c r="AD20" s="44">
        <f t="shared" ref="AD20" si="136">SUM(AD18+AD19)</f>
        <v>0</v>
      </c>
      <c r="AE20" s="44">
        <f t="shared" ref="AE20" si="137">SUM(AE18+AE19)</f>
        <v>0</v>
      </c>
      <c r="AF20" s="44">
        <f t="shared" ref="AF20" si="138">SUM(AF18+AF19)</f>
        <v>0</v>
      </c>
      <c r="AG20" s="44">
        <f t="shared" ref="AG20" si="139">SUM(AG18+AG19)</f>
        <v>0</v>
      </c>
      <c r="AH20" s="44">
        <f t="shared" ref="AH20" si="140">SUM(AH18+AH19)</f>
        <v>0</v>
      </c>
      <c r="AI20" s="44">
        <f t="shared" ref="AI20" si="141">SUM(AI18+AI19)</f>
        <v>0</v>
      </c>
      <c r="AJ20" s="44">
        <f t="shared" ref="AJ20" si="142">SUM(AJ18+AJ19)</f>
        <v>0</v>
      </c>
      <c r="AK20" s="44">
        <f t="shared" ref="AK20" si="143">SUM(AK18+AK19)</f>
        <v>0</v>
      </c>
      <c r="AL20" s="46">
        <f t="shared" ref="AL20" si="144">SUM(AL18+AL19)</f>
        <v>0</v>
      </c>
      <c r="AM20" s="114"/>
      <c r="AN20" s="105"/>
      <c r="AO20" s="10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3">
      <c r="A21" s="128" t="str">
        <f>Drivers!AN19</f>
        <v>Kilhefner (3)</v>
      </c>
      <c r="B21" s="50" t="str">
        <f>Drivers!AO19</f>
        <v>Blaney</v>
      </c>
      <c r="C21" s="38">
        <f>Drivers!C15</f>
        <v>27</v>
      </c>
      <c r="D21" s="38">
        <f>Drivers!D15</f>
        <v>31</v>
      </c>
      <c r="E21" s="38">
        <f>Drivers!E15</f>
        <v>33</v>
      </c>
      <c r="F21" s="38">
        <f>Drivers!F15</f>
        <v>65</v>
      </c>
      <c r="G21" s="38">
        <f>Drivers!G15</f>
        <v>23</v>
      </c>
      <c r="H21" s="38">
        <f>Drivers!H15</f>
        <v>42</v>
      </c>
      <c r="I21" s="38">
        <f>Drivers!I15</f>
        <v>41</v>
      </c>
      <c r="J21" s="38">
        <f>Drivers!J15</f>
        <v>53</v>
      </c>
      <c r="K21" s="38">
        <f>Drivers!K15</f>
        <v>13</v>
      </c>
      <c r="L21" s="38">
        <f>Drivers!L15</f>
        <v>7</v>
      </c>
      <c r="M21" s="38">
        <f>Drivers!M15</f>
        <v>27</v>
      </c>
      <c r="N21" s="38">
        <f>Drivers!N15</f>
        <v>34</v>
      </c>
      <c r="O21" s="38">
        <f>Drivers!O15</f>
        <v>41</v>
      </c>
      <c r="P21" s="38">
        <f>Drivers!P15</f>
        <v>37</v>
      </c>
      <c r="Q21" s="38">
        <f>Drivers!Q15</f>
        <v>29</v>
      </c>
      <c r="R21" s="38">
        <f>Drivers!R15</f>
        <v>27</v>
      </c>
      <c r="S21" s="38">
        <f>Drivers!S15</f>
        <v>44</v>
      </c>
      <c r="T21" s="38">
        <f>Drivers!T15</f>
        <v>32</v>
      </c>
      <c r="U21" s="38">
        <f>Drivers!U15</f>
        <v>36</v>
      </c>
      <c r="V21" s="38">
        <f>Drivers!V15</f>
        <v>75</v>
      </c>
      <c r="W21" s="38">
        <f>Drivers!W15</f>
        <v>0</v>
      </c>
      <c r="X21" s="38">
        <f>Drivers!X15</f>
        <v>0</v>
      </c>
      <c r="Y21" s="38">
        <f>Drivers!Y15</f>
        <v>0</v>
      </c>
      <c r="Z21" s="38">
        <f>Drivers!Z15</f>
        <v>0</v>
      </c>
      <c r="AA21" s="38">
        <f>Drivers!AA15</f>
        <v>0</v>
      </c>
      <c r="AB21" s="38">
        <f>Drivers!AB15</f>
        <v>0</v>
      </c>
      <c r="AC21" s="38">
        <f>Drivers!AC15</f>
        <v>0</v>
      </c>
      <c r="AD21" s="38">
        <f>Drivers!AD15</f>
        <v>0</v>
      </c>
      <c r="AE21" s="38">
        <f>Drivers!AE15</f>
        <v>0</v>
      </c>
      <c r="AF21" s="38">
        <f>Drivers!AF15</f>
        <v>0</v>
      </c>
      <c r="AG21" s="38">
        <f>Drivers!AG15</f>
        <v>0</v>
      </c>
      <c r="AH21" s="38">
        <f>Drivers!AH15</f>
        <v>0</v>
      </c>
      <c r="AI21" s="38">
        <f>Drivers!AI15</f>
        <v>0</v>
      </c>
      <c r="AJ21" s="38">
        <f>Drivers!AJ15</f>
        <v>0</v>
      </c>
      <c r="AK21" s="38">
        <f>Drivers!AK15</f>
        <v>0</v>
      </c>
      <c r="AL21" s="38">
        <f>Drivers!AL15</f>
        <v>0</v>
      </c>
      <c r="AM21" s="113">
        <f>SUM(C23:AL23)</f>
        <v>1025</v>
      </c>
      <c r="AN21" s="107">
        <f>RANK($AM$6:$AM$35,$AM$6:$AM$35,1&gt;10)</f>
        <v>4</v>
      </c>
      <c r="AO21" s="101">
        <f t="shared" ref="AO21" si="145">AVERAGE(C23:AL23)</f>
        <v>28.472222222222221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3" x14ac:dyDescent="0.3">
      <c r="A22" s="127"/>
      <c r="B22" s="78" t="str">
        <f>Drivers!AO20</f>
        <v>Chastain</v>
      </c>
      <c r="C22" s="26">
        <f>Drivers!C36</f>
        <v>3</v>
      </c>
      <c r="D22" s="26">
        <f>Drivers!D36</f>
        <v>14</v>
      </c>
      <c r="E22" s="26">
        <f>Drivers!E36</f>
        <v>5</v>
      </c>
      <c r="F22" s="26">
        <f>Drivers!F46</f>
        <v>26</v>
      </c>
      <c r="G22" s="80">
        <f>Drivers!G46</f>
        <v>1</v>
      </c>
      <c r="H22" s="26">
        <f>Drivers!H46</f>
        <v>23</v>
      </c>
      <c r="I22" s="26">
        <f>Drivers!I46</f>
        <v>34</v>
      </c>
      <c r="J22" s="26">
        <f>Drivers!J46</f>
        <v>3</v>
      </c>
      <c r="K22" s="26">
        <f>Drivers!K9</f>
        <v>35</v>
      </c>
      <c r="L22" s="26">
        <f>Drivers!L9</f>
        <v>15</v>
      </c>
      <c r="M22" s="26">
        <f>Drivers!M9</f>
        <v>32</v>
      </c>
      <c r="N22" s="26">
        <f>Drivers!N9</f>
        <v>7</v>
      </c>
      <c r="O22" s="26">
        <f>Drivers!O9</f>
        <v>25</v>
      </c>
      <c r="P22" s="26">
        <f>Drivers!P9</f>
        <v>4</v>
      </c>
      <c r="Q22" s="26">
        <f>Drivers!Q9</f>
        <v>3</v>
      </c>
      <c r="R22" s="26">
        <f>Drivers!R9</f>
        <v>1</v>
      </c>
      <c r="S22" s="26">
        <f>Drivers!S9</f>
        <v>3</v>
      </c>
      <c r="T22" s="26">
        <f>Drivers!T4</f>
        <v>29</v>
      </c>
      <c r="U22" s="26">
        <f>Drivers!U4</f>
        <v>19</v>
      </c>
      <c r="V22" s="26">
        <f>Drivers!V4</f>
        <v>26</v>
      </c>
      <c r="W22" s="26">
        <f>Drivers!W4</f>
        <v>0</v>
      </c>
      <c r="X22" s="26">
        <f>Drivers!X4</f>
        <v>0</v>
      </c>
      <c r="Y22" s="26">
        <f>Drivers!Y4</f>
        <v>0</v>
      </c>
      <c r="Z22" s="26">
        <f>Drivers!Z4</f>
        <v>0</v>
      </c>
      <c r="AA22" s="26">
        <f>Drivers!AA4</f>
        <v>0</v>
      </c>
      <c r="AB22" s="26">
        <f>Drivers!AB4</f>
        <v>0</v>
      </c>
      <c r="AC22" s="26">
        <f>Drivers!AC4</f>
        <v>0</v>
      </c>
      <c r="AD22" s="26">
        <f>Drivers!AD4</f>
        <v>0</v>
      </c>
      <c r="AE22" s="26">
        <f>Drivers!AE4</f>
        <v>0</v>
      </c>
      <c r="AF22" s="26">
        <f>Drivers!AF4</f>
        <v>0</v>
      </c>
      <c r="AG22" s="26">
        <f>Drivers!AG4</f>
        <v>0</v>
      </c>
      <c r="AH22" s="26">
        <f>Drivers!AH4</f>
        <v>0</v>
      </c>
      <c r="AI22" s="26">
        <f>Drivers!AI4</f>
        <v>0</v>
      </c>
      <c r="AJ22" s="26">
        <f>Drivers!AJ4</f>
        <v>0</v>
      </c>
      <c r="AK22" s="26">
        <f>Drivers!AK4</f>
        <v>0</v>
      </c>
      <c r="AL22" s="26">
        <f>Drivers!AL4</f>
        <v>0</v>
      </c>
      <c r="AM22" s="112"/>
      <c r="AN22" s="105"/>
      <c r="AO22" s="102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35">
      <c r="A23" s="129"/>
      <c r="B23" s="51"/>
      <c r="C23" s="44">
        <f>SUM(C21+C22)</f>
        <v>30</v>
      </c>
      <c r="D23" s="44">
        <f t="shared" ref="D23" si="146">SUM(D21+D22)</f>
        <v>45</v>
      </c>
      <c r="E23" s="44">
        <f t="shared" ref="E23" si="147">SUM(E21+E22)</f>
        <v>38</v>
      </c>
      <c r="F23" s="44">
        <f t="shared" ref="F23" si="148">SUM(F21+F22)</f>
        <v>91</v>
      </c>
      <c r="G23" s="44">
        <f t="shared" ref="G23" si="149">SUM(G21+G22)</f>
        <v>24</v>
      </c>
      <c r="H23" s="44">
        <f t="shared" ref="H23" si="150">SUM(H21+H22)</f>
        <v>65</v>
      </c>
      <c r="I23" s="44">
        <f t="shared" ref="I23" si="151">SUM(I21+I22)</f>
        <v>75</v>
      </c>
      <c r="J23" s="44">
        <f t="shared" ref="J23" si="152">SUM(J21+J22)</f>
        <v>56</v>
      </c>
      <c r="K23" s="44">
        <f t="shared" ref="K23" si="153">SUM(K21+K22)</f>
        <v>48</v>
      </c>
      <c r="L23" s="45">
        <f t="shared" ref="L23" si="154">SUM(L21+L22)</f>
        <v>22</v>
      </c>
      <c r="M23" s="44">
        <f t="shared" ref="M23" si="155">SUM(M21+M22)</f>
        <v>59</v>
      </c>
      <c r="N23" s="44">
        <f t="shared" ref="N23" si="156">SUM(N21+N22)</f>
        <v>41</v>
      </c>
      <c r="O23" s="44">
        <f t="shared" ref="O23" si="157">SUM(O21+O22)</f>
        <v>66</v>
      </c>
      <c r="P23" s="44">
        <f t="shared" ref="P23" si="158">SUM(P21+P22)</f>
        <v>41</v>
      </c>
      <c r="Q23" s="44">
        <f t="shared" ref="Q23" si="159">SUM(Q21+Q22)</f>
        <v>32</v>
      </c>
      <c r="R23" s="44">
        <f t="shared" ref="R23" si="160">SUM(R21+R22)</f>
        <v>28</v>
      </c>
      <c r="S23" s="44">
        <f t="shared" ref="S23" si="161">SUM(S21+S22)</f>
        <v>47</v>
      </c>
      <c r="T23" s="44">
        <f t="shared" ref="T23" si="162">SUM(T21+T22)</f>
        <v>61</v>
      </c>
      <c r="U23" s="44">
        <f t="shared" ref="U23" si="163">SUM(U21+U22)</f>
        <v>55</v>
      </c>
      <c r="V23" s="44">
        <f t="shared" ref="V23" si="164">SUM(V21+V22)</f>
        <v>101</v>
      </c>
      <c r="W23" s="44">
        <f t="shared" ref="W23" si="165">SUM(W21+W22)</f>
        <v>0</v>
      </c>
      <c r="X23" s="44">
        <f t="shared" ref="X23" si="166">SUM(X21+X22)</f>
        <v>0</v>
      </c>
      <c r="Y23" s="44">
        <f t="shared" ref="Y23" si="167">SUM(Y21+Y22)</f>
        <v>0</v>
      </c>
      <c r="Z23" s="44">
        <f t="shared" ref="Z23" si="168">SUM(Z21+Z22)</f>
        <v>0</v>
      </c>
      <c r="AA23" s="44">
        <f t="shared" ref="AA23" si="169">SUM(AA21+AA22)</f>
        <v>0</v>
      </c>
      <c r="AB23" s="44">
        <f t="shared" ref="AB23" si="170">SUM(AB21+AB22)</f>
        <v>0</v>
      </c>
      <c r="AC23" s="45">
        <f t="shared" ref="AC23" si="171">SUM(AC21+AC22)</f>
        <v>0</v>
      </c>
      <c r="AD23" s="44">
        <f t="shared" ref="AD23" si="172">SUM(AD21+AD22)</f>
        <v>0</v>
      </c>
      <c r="AE23" s="44">
        <f t="shared" ref="AE23" si="173">SUM(AE21+AE22)</f>
        <v>0</v>
      </c>
      <c r="AF23" s="44">
        <f t="shared" ref="AF23" si="174">SUM(AF21+AF22)</f>
        <v>0</v>
      </c>
      <c r="AG23" s="44">
        <f t="shared" ref="AG23" si="175">SUM(AG21+AG22)</f>
        <v>0</v>
      </c>
      <c r="AH23" s="44">
        <f t="shared" ref="AH23" si="176">SUM(AH21+AH22)</f>
        <v>0</v>
      </c>
      <c r="AI23" s="44">
        <f t="shared" ref="AI23" si="177">SUM(AI21+AI22)</f>
        <v>0</v>
      </c>
      <c r="AJ23" s="44">
        <f t="shared" ref="AJ23" si="178">SUM(AJ21+AJ22)</f>
        <v>0</v>
      </c>
      <c r="AK23" s="44">
        <f t="shared" ref="AK23" si="179">SUM(AK21+AK22)</f>
        <v>0</v>
      </c>
      <c r="AL23" s="46">
        <f t="shared" ref="AL23" si="180">SUM(AL21+AL22)</f>
        <v>0</v>
      </c>
      <c r="AM23" s="114"/>
      <c r="AN23" s="108"/>
      <c r="AO23" s="10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3">
      <c r="A24" s="128" t="str">
        <f>Drivers!AN22</f>
        <v>Dani(1)</v>
      </c>
      <c r="B24" s="50" t="str">
        <f>Drivers!AO22</f>
        <v>Larson</v>
      </c>
      <c r="C24" s="38">
        <f>Drivers!C8</f>
        <v>21</v>
      </c>
      <c r="D24" s="38">
        <f>Drivers!D8</f>
        <v>13</v>
      </c>
      <c r="E24" s="38">
        <f>Drivers!E8</f>
        <v>31</v>
      </c>
      <c r="F24" s="38">
        <f>Drivers!F8</f>
        <v>36</v>
      </c>
      <c r="G24" s="38">
        <f>Drivers!G8</f>
        <v>48</v>
      </c>
      <c r="H24" s="38">
        <f>Drivers!H8</f>
        <v>19</v>
      </c>
      <c r="I24" s="38">
        <f>Drivers!I8</f>
        <v>30</v>
      </c>
      <c r="J24" s="38">
        <f>Drivers!J8</f>
        <v>54</v>
      </c>
      <c r="K24" s="38">
        <f>Drivers!K8</f>
        <v>54</v>
      </c>
      <c r="L24" s="38">
        <f>Drivers!L8</f>
        <v>1</v>
      </c>
      <c r="M24" s="38">
        <f>Drivers!M8</f>
        <v>3</v>
      </c>
      <c r="N24" s="38">
        <f>Drivers!N8</f>
        <v>14</v>
      </c>
      <c r="O24" s="38">
        <f>Drivers!O8</f>
        <v>54</v>
      </c>
      <c r="P24" s="38">
        <f>Drivers!P8</f>
        <v>23</v>
      </c>
      <c r="Q24" s="38">
        <f>Drivers!Q8</f>
        <v>44</v>
      </c>
      <c r="R24" s="38">
        <f>Drivers!R8</f>
        <v>24</v>
      </c>
      <c r="S24" s="38">
        <f>Drivers!S8</f>
        <v>42</v>
      </c>
      <c r="T24" s="38">
        <f>Drivers!T8</f>
        <v>35</v>
      </c>
      <c r="U24" s="38">
        <f>Drivers!U8</f>
        <v>12</v>
      </c>
      <c r="V24" s="38">
        <f>Drivers!V8</f>
        <v>11</v>
      </c>
      <c r="W24" s="38">
        <f>Drivers!W8</f>
        <v>0</v>
      </c>
      <c r="X24" s="38">
        <f>Drivers!X8</f>
        <v>0</v>
      </c>
      <c r="Y24" s="38">
        <f>Drivers!Y8</f>
        <v>0</v>
      </c>
      <c r="Z24" s="38">
        <f>Drivers!Z8</f>
        <v>0</v>
      </c>
      <c r="AA24" s="38">
        <f>Drivers!AA8</f>
        <v>0</v>
      </c>
      <c r="AB24" s="38">
        <f>Drivers!AB8</f>
        <v>0</v>
      </c>
      <c r="AC24" s="38">
        <f>Drivers!AC8</f>
        <v>0</v>
      </c>
      <c r="AD24" s="38">
        <f>Drivers!AD8</f>
        <v>0</v>
      </c>
      <c r="AE24" s="38">
        <f>Drivers!AE8</f>
        <v>0</v>
      </c>
      <c r="AF24" s="38">
        <f>Drivers!AF8</f>
        <v>0</v>
      </c>
      <c r="AG24" s="38">
        <f>Drivers!AG8</f>
        <v>0</v>
      </c>
      <c r="AH24" s="38">
        <f>Drivers!AH8</f>
        <v>0</v>
      </c>
      <c r="AI24" s="38">
        <f>Drivers!AI8</f>
        <v>0</v>
      </c>
      <c r="AJ24" s="38">
        <f>Drivers!AJ8</f>
        <v>0</v>
      </c>
      <c r="AK24" s="38">
        <f>Drivers!AK8</f>
        <v>0</v>
      </c>
      <c r="AL24" s="38">
        <f>Drivers!AL8</f>
        <v>0</v>
      </c>
      <c r="AM24" s="111">
        <f>SUM(C26:AL26)</f>
        <v>983</v>
      </c>
      <c r="AN24" s="109">
        <f>RANK($AM$6:$AM$35,$AM$6:$AM$35,1&gt;10)</f>
        <v>6</v>
      </c>
      <c r="AO24" s="101">
        <f t="shared" ref="AO24" si="181">AVERAGE(C26:AL26)</f>
        <v>27.305555555555557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3" x14ac:dyDescent="0.3">
      <c r="A25" s="127"/>
      <c r="B25" s="78" t="str">
        <f>Drivers!AO23</f>
        <v>Bubba</v>
      </c>
      <c r="C25" s="26">
        <f>Drivers!C5</f>
        <v>12</v>
      </c>
      <c r="D25" s="26">
        <f>Drivers!D5</f>
        <v>21</v>
      </c>
      <c r="E25" s="26">
        <f>Drivers!E5</f>
        <v>5</v>
      </c>
      <c r="F25" s="26">
        <f>Drivers!F23</f>
        <v>37</v>
      </c>
      <c r="G25" s="80">
        <f>Drivers!G23</f>
        <v>41</v>
      </c>
      <c r="H25" s="26">
        <f>Drivers!H23</f>
        <v>10</v>
      </c>
      <c r="I25" s="26">
        <f>Drivers!I23</f>
        <v>1</v>
      </c>
      <c r="J25" s="26">
        <f>Drivers!J23</f>
        <v>30</v>
      </c>
      <c r="K25" s="26">
        <f>Drivers!K23</f>
        <v>39</v>
      </c>
      <c r="L25" s="26">
        <f>Drivers!L23</f>
        <v>1</v>
      </c>
      <c r="M25" s="26">
        <f>Drivers!M23</f>
        <v>28</v>
      </c>
      <c r="N25" s="26">
        <f>Drivers!N23</f>
        <v>9</v>
      </c>
      <c r="O25" s="26">
        <f>Drivers!O23</f>
        <v>15</v>
      </c>
      <c r="P25" s="26">
        <f>Drivers!P23</f>
        <v>10</v>
      </c>
      <c r="Q25" s="26">
        <f>Drivers!Q23</f>
        <v>40</v>
      </c>
      <c r="R25" s="26">
        <f>Drivers!R23</f>
        <v>16</v>
      </c>
      <c r="S25" s="26">
        <f>Drivers!S23</f>
        <v>35</v>
      </c>
      <c r="T25" s="26">
        <f>Drivers!T23</f>
        <v>15</v>
      </c>
      <c r="U25" s="26">
        <f>Drivers!U23</f>
        <v>40</v>
      </c>
      <c r="V25" s="26">
        <f>Drivers!V23</f>
        <v>9</v>
      </c>
      <c r="W25" s="26">
        <f>Drivers!W23</f>
        <v>0</v>
      </c>
      <c r="X25" s="26">
        <f>Drivers!X23</f>
        <v>0</v>
      </c>
      <c r="Y25" s="26">
        <f>Drivers!Y23</f>
        <v>0</v>
      </c>
      <c r="Z25" s="26">
        <f>Drivers!Z23</f>
        <v>0</v>
      </c>
      <c r="AA25" s="26">
        <f>Drivers!AA23</f>
        <v>0</v>
      </c>
      <c r="AB25" s="26">
        <f>Drivers!AB23</f>
        <v>0</v>
      </c>
      <c r="AC25" s="26">
        <f>Drivers!AC23</f>
        <v>0</v>
      </c>
      <c r="AD25" s="26">
        <f>Drivers!AD23</f>
        <v>0</v>
      </c>
      <c r="AE25" s="26">
        <f>Drivers!AE23</f>
        <v>0</v>
      </c>
      <c r="AF25" s="26">
        <f>Drivers!AF23</f>
        <v>0</v>
      </c>
      <c r="AG25" s="26">
        <f>Drivers!AG23</f>
        <v>0</v>
      </c>
      <c r="AH25" s="26">
        <f>Drivers!AH23</f>
        <v>0</v>
      </c>
      <c r="AI25" s="26">
        <f>Drivers!AI23</f>
        <v>0</v>
      </c>
      <c r="AJ25" s="26">
        <f>Drivers!AJ23</f>
        <v>0</v>
      </c>
      <c r="AK25" s="26">
        <f>Drivers!AK23</f>
        <v>0</v>
      </c>
      <c r="AL25" s="26">
        <f>Drivers!AL23</f>
        <v>0</v>
      </c>
      <c r="AM25" s="112"/>
      <c r="AN25" s="105"/>
      <c r="AO25" s="102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35">
      <c r="A26" s="129"/>
      <c r="B26" s="52"/>
      <c r="C26" s="44">
        <f>SUM(C24+C25)</f>
        <v>33</v>
      </c>
      <c r="D26" s="44">
        <f t="shared" ref="D26" si="182">SUM(D24+D25)</f>
        <v>34</v>
      </c>
      <c r="E26" s="44">
        <f t="shared" ref="E26" si="183">SUM(E24+E25)</f>
        <v>36</v>
      </c>
      <c r="F26" s="44">
        <f t="shared" ref="F26" si="184">SUM(F24+F25)</f>
        <v>73</v>
      </c>
      <c r="G26" s="44">
        <f t="shared" ref="G26" si="185">SUM(G24+G25)</f>
        <v>89</v>
      </c>
      <c r="H26" s="44">
        <f t="shared" ref="H26" si="186">SUM(H24+H25)</f>
        <v>29</v>
      </c>
      <c r="I26" s="44">
        <f t="shared" ref="I26" si="187">SUM(I24+I25)</f>
        <v>31</v>
      </c>
      <c r="J26" s="44">
        <f t="shared" ref="J26" si="188">SUM(J24+J25)</f>
        <v>84</v>
      </c>
      <c r="K26" s="44">
        <f t="shared" ref="K26" si="189">SUM(K24+K25)</f>
        <v>93</v>
      </c>
      <c r="L26" s="45">
        <f t="shared" ref="L26" si="190">SUM(L24+L25)</f>
        <v>2</v>
      </c>
      <c r="M26" s="44">
        <f t="shared" ref="M26" si="191">SUM(M24+M25)</f>
        <v>31</v>
      </c>
      <c r="N26" s="44">
        <f t="shared" ref="N26" si="192">SUM(N24+N25)</f>
        <v>23</v>
      </c>
      <c r="O26" s="44">
        <f t="shared" ref="O26" si="193">SUM(O24+O25)</f>
        <v>69</v>
      </c>
      <c r="P26" s="44">
        <f t="shared" ref="P26" si="194">SUM(P24+P25)</f>
        <v>33</v>
      </c>
      <c r="Q26" s="44">
        <f t="shared" ref="Q26" si="195">SUM(Q24+Q25)</f>
        <v>84</v>
      </c>
      <c r="R26" s="44">
        <f t="shared" ref="R26" si="196">SUM(R24+R25)</f>
        <v>40</v>
      </c>
      <c r="S26" s="44">
        <f t="shared" ref="S26" si="197">SUM(S24+S25)</f>
        <v>77</v>
      </c>
      <c r="T26" s="44">
        <f t="shared" ref="T26" si="198">SUM(T24+T25)</f>
        <v>50</v>
      </c>
      <c r="U26" s="44">
        <f t="shared" ref="U26" si="199">SUM(U24+U25)</f>
        <v>52</v>
      </c>
      <c r="V26" s="44">
        <f t="shared" ref="V26" si="200">SUM(V24+V25)</f>
        <v>20</v>
      </c>
      <c r="W26" s="44">
        <f t="shared" ref="W26" si="201">SUM(W24+W25)</f>
        <v>0</v>
      </c>
      <c r="X26" s="44">
        <f t="shared" ref="X26" si="202">SUM(X24+X25)</f>
        <v>0</v>
      </c>
      <c r="Y26" s="44">
        <f t="shared" ref="Y26" si="203">SUM(Y24+Y25)</f>
        <v>0</v>
      </c>
      <c r="Z26" s="44">
        <f t="shared" ref="Z26" si="204">SUM(Z24+Z25)</f>
        <v>0</v>
      </c>
      <c r="AA26" s="44">
        <f t="shared" ref="AA26" si="205">SUM(AA24+AA25)</f>
        <v>0</v>
      </c>
      <c r="AB26" s="44">
        <f t="shared" ref="AB26" si="206">SUM(AB24+AB25)</f>
        <v>0</v>
      </c>
      <c r="AC26" s="45">
        <f t="shared" ref="AC26" si="207">SUM(AC24+AC25)</f>
        <v>0</v>
      </c>
      <c r="AD26" s="44">
        <f t="shared" ref="AD26" si="208">SUM(AD24+AD25)</f>
        <v>0</v>
      </c>
      <c r="AE26" s="44">
        <f t="shared" ref="AE26" si="209">SUM(AE24+AE25)</f>
        <v>0</v>
      </c>
      <c r="AF26" s="44">
        <f t="shared" ref="AF26" si="210">SUM(AF24+AF25)</f>
        <v>0</v>
      </c>
      <c r="AG26" s="44">
        <f t="shared" ref="AG26" si="211">SUM(AG24+AG25)</f>
        <v>0</v>
      </c>
      <c r="AH26" s="44">
        <f t="shared" ref="AH26" si="212">SUM(AH24+AH25)</f>
        <v>0</v>
      </c>
      <c r="AI26" s="44">
        <f t="shared" ref="AI26" si="213">SUM(AI24+AI25)</f>
        <v>0</v>
      </c>
      <c r="AJ26" s="44">
        <f t="shared" ref="AJ26" si="214">SUM(AJ24+AJ25)</f>
        <v>0</v>
      </c>
      <c r="AK26" s="44">
        <f t="shared" ref="AK26" si="215">SUM(AK24+AK25)</f>
        <v>0</v>
      </c>
      <c r="AL26" s="46">
        <f t="shared" ref="AL26" si="216">SUM(AL24+AL25)</f>
        <v>0</v>
      </c>
      <c r="AM26" s="112"/>
      <c r="AN26" s="105"/>
      <c r="AO26" s="10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3">
      <c r="A27" s="128">
        <f>Drivers!AN25</f>
        <v>8</v>
      </c>
      <c r="B27" s="53" t="str">
        <f>Drivers!AO25</f>
        <v>A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8"/>
      <c r="AE27" s="58"/>
      <c r="AF27" s="60"/>
      <c r="AG27" s="60"/>
      <c r="AH27" s="60"/>
      <c r="AI27" s="60"/>
      <c r="AJ27" s="58"/>
      <c r="AK27" s="58"/>
      <c r="AL27" s="43"/>
      <c r="AM27" s="113">
        <f>SUM(C29:AL29)</f>
        <v>0</v>
      </c>
      <c r="AN27" s="107">
        <f>RANK($AM$6:$AM$35,$AM$6:$AM$35,1&gt;10)</f>
        <v>8</v>
      </c>
      <c r="AO27" s="101">
        <f t="shared" ref="AO27" si="217">AVERAGE(C29:AL29)</f>
        <v>0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3" x14ac:dyDescent="0.3">
      <c r="A28" s="127"/>
      <c r="B28" s="49" t="str">
        <f>Drivers!AO26</f>
        <v>B</v>
      </c>
      <c r="C28" s="26"/>
      <c r="D28" s="26"/>
      <c r="E28" s="26"/>
      <c r="F28" s="26"/>
      <c r="G28" s="26"/>
      <c r="H28" s="26"/>
      <c r="I28" s="26"/>
      <c r="J28" s="26"/>
      <c r="K28" s="26"/>
      <c r="L28" s="28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/>
      <c r="AD28" s="55"/>
      <c r="AE28" s="55"/>
      <c r="AF28" s="57"/>
      <c r="AG28" s="57"/>
      <c r="AH28" s="57"/>
      <c r="AI28" s="57"/>
      <c r="AJ28" s="55"/>
      <c r="AK28" s="55"/>
      <c r="AL28" s="30"/>
      <c r="AM28" s="112"/>
      <c r="AN28" s="105"/>
      <c r="AO28" s="102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35">
      <c r="A29" s="129"/>
      <c r="B29" s="52"/>
      <c r="C29" s="44">
        <f>SUM(C27+C28)</f>
        <v>0</v>
      </c>
      <c r="D29" s="44">
        <f t="shared" ref="D29" si="218">SUM(D27+D28)</f>
        <v>0</v>
      </c>
      <c r="E29" s="44">
        <f t="shared" ref="E29" si="219">SUM(E27+E28)</f>
        <v>0</v>
      </c>
      <c r="F29" s="44">
        <f t="shared" ref="F29" si="220">SUM(F27+F28)</f>
        <v>0</v>
      </c>
      <c r="G29" s="44">
        <f t="shared" ref="G29" si="221">SUM(G27+G28)</f>
        <v>0</v>
      </c>
      <c r="H29" s="44">
        <f t="shared" ref="H29" si="222">SUM(H27+H28)</f>
        <v>0</v>
      </c>
      <c r="I29" s="44">
        <f t="shared" ref="I29" si="223">SUM(I27+I28)</f>
        <v>0</v>
      </c>
      <c r="J29" s="44">
        <f t="shared" ref="J29" si="224">SUM(J27+J28)</f>
        <v>0</v>
      </c>
      <c r="K29" s="44">
        <f t="shared" ref="K29" si="225">SUM(K27+K28)</f>
        <v>0</v>
      </c>
      <c r="L29" s="45">
        <f t="shared" ref="L29" si="226">SUM(L27+L28)</f>
        <v>0</v>
      </c>
      <c r="M29" s="44">
        <f t="shared" ref="M29" si="227">SUM(M27+M28)</f>
        <v>0</v>
      </c>
      <c r="N29" s="44">
        <f t="shared" ref="N29" si="228">SUM(N27+N28)</f>
        <v>0</v>
      </c>
      <c r="O29" s="44">
        <f t="shared" ref="O29" si="229">SUM(O27+O28)</f>
        <v>0</v>
      </c>
      <c r="P29" s="44">
        <f t="shared" ref="P29" si="230">SUM(P27+P28)</f>
        <v>0</v>
      </c>
      <c r="Q29" s="44">
        <f t="shared" ref="Q29" si="231">SUM(Q27+Q28)</f>
        <v>0</v>
      </c>
      <c r="R29" s="44">
        <f t="shared" ref="R29" si="232">SUM(R27+R28)</f>
        <v>0</v>
      </c>
      <c r="S29" s="44">
        <f t="shared" ref="S29" si="233">SUM(S27+S28)</f>
        <v>0</v>
      </c>
      <c r="T29" s="44">
        <f t="shared" ref="T29" si="234">SUM(T27+T28)</f>
        <v>0</v>
      </c>
      <c r="U29" s="44">
        <f t="shared" ref="U29" si="235">SUM(U27+U28)</f>
        <v>0</v>
      </c>
      <c r="V29" s="44">
        <f t="shared" ref="V29" si="236">SUM(V27+V28)</f>
        <v>0</v>
      </c>
      <c r="W29" s="44">
        <f t="shared" ref="W29" si="237">SUM(W27+W28)</f>
        <v>0</v>
      </c>
      <c r="X29" s="44">
        <f t="shared" ref="X29" si="238">SUM(X27+X28)</f>
        <v>0</v>
      </c>
      <c r="Y29" s="44">
        <f t="shared" ref="Y29" si="239">SUM(Y27+Y28)</f>
        <v>0</v>
      </c>
      <c r="Z29" s="44">
        <f t="shared" ref="Z29" si="240">SUM(Z27+Z28)</f>
        <v>0</v>
      </c>
      <c r="AA29" s="44">
        <f t="shared" ref="AA29" si="241">SUM(AA27+AA28)</f>
        <v>0</v>
      </c>
      <c r="AB29" s="44">
        <f t="shared" ref="AB29" si="242">SUM(AB27+AB28)</f>
        <v>0</v>
      </c>
      <c r="AC29" s="45">
        <f t="shared" ref="AC29" si="243">SUM(AC27+AC28)</f>
        <v>0</v>
      </c>
      <c r="AD29" s="44">
        <f t="shared" ref="AD29" si="244">SUM(AD27+AD28)</f>
        <v>0</v>
      </c>
      <c r="AE29" s="44">
        <f t="shared" ref="AE29" si="245">SUM(AE27+AE28)</f>
        <v>0</v>
      </c>
      <c r="AF29" s="44">
        <f t="shared" ref="AF29" si="246">SUM(AF27+AF28)</f>
        <v>0</v>
      </c>
      <c r="AG29" s="44">
        <f t="shared" ref="AG29" si="247">SUM(AG27+AG28)</f>
        <v>0</v>
      </c>
      <c r="AH29" s="44">
        <f t="shared" ref="AH29" si="248">SUM(AH27+AH28)</f>
        <v>0</v>
      </c>
      <c r="AI29" s="44">
        <f t="shared" ref="AI29" si="249">SUM(AI27+AI28)</f>
        <v>0</v>
      </c>
      <c r="AJ29" s="44">
        <f t="shared" ref="AJ29" si="250">SUM(AJ27+AJ28)</f>
        <v>0</v>
      </c>
      <c r="AK29" s="44">
        <f t="shared" ref="AK29" si="251">SUM(AK27+AK28)</f>
        <v>0</v>
      </c>
      <c r="AL29" s="46">
        <f t="shared" ref="AL29" si="252">SUM(AL27+AL28)</f>
        <v>0</v>
      </c>
      <c r="AM29" s="112"/>
      <c r="AN29" s="108"/>
      <c r="AO29" s="10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3">
      <c r="A30" s="126">
        <f>Drivers!AN28</f>
        <v>9</v>
      </c>
      <c r="B30" s="50" t="str">
        <f>Drivers!AO28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13">
        <f>SUM(C32:AL32)</f>
        <v>0</v>
      </c>
      <c r="AN30" s="107">
        <f>RANK($AM$6:$AM$35,$AM$6:$AM$35,1&gt;10)</f>
        <v>8</v>
      </c>
      <c r="AO30" s="101">
        <f t="shared" ref="AO30" si="253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3" x14ac:dyDescent="0.3">
      <c r="A31" s="127"/>
      <c r="B31" s="49" t="str">
        <f>Drivers!AO29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12"/>
      <c r="AN31" s="105"/>
      <c r="AO31" s="102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3" x14ac:dyDescent="0.3">
      <c r="A32" s="127"/>
      <c r="B32" s="52"/>
      <c r="C32" s="44">
        <f>SUM(C30+C31)</f>
        <v>0</v>
      </c>
      <c r="D32" s="44">
        <f t="shared" ref="D32" si="254">SUM(D30+D31)</f>
        <v>0</v>
      </c>
      <c r="E32" s="44">
        <f t="shared" ref="E32" si="255">SUM(E30+E31)</f>
        <v>0</v>
      </c>
      <c r="F32" s="44">
        <f t="shared" ref="F32" si="256">SUM(F30+F31)</f>
        <v>0</v>
      </c>
      <c r="G32" s="44">
        <f t="shared" ref="G32" si="257">SUM(G30+G31)</f>
        <v>0</v>
      </c>
      <c r="H32" s="44">
        <f t="shared" ref="H32" si="258">SUM(H30+H31)</f>
        <v>0</v>
      </c>
      <c r="I32" s="44">
        <f t="shared" ref="I32" si="259">SUM(I30+I31)</f>
        <v>0</v>
      </c>
      <c r="J32" s="44">
        <f t="shared" ref="J32" si="260">SUM(J30+J31)</f>
        <v>0</v>
      </c>
      <c r="K32" s="44">
        <f t="shared" ref="K32" si="261">SUM(K30+K31)</f>
        <v>0</v>
      </c>
      <c r="L32" s="45">
        <f t="shared" ref="L32" si="262">SUM(L30+L31)</f>
        <v>0</v>
      </c>
      <c r="M32" s="44">
        <f t="shared" ref="M32" si="263">SUM(M30+M31)</f>
        <v>0</v>
      </c>
      <c r="N32" s="44">
        <f t="shared" ref="N32" si="264">SUM(N30+N31)</f>
        <v>0</v>
      </c>
      <c r="O32" s="44">
        <f t="shared" ref="O32" si="265">SUM(O30+O31)</f>
        <v>0</v>
      </c>
      <c r="P32" s="44">
        <f t="shared" ref="P32" si="266">SUM(P30+P31)</f>
        <v>0</v>
      </c>
      <c r="Q32" s="44">
        <f t="shared" ref="Q32" si="267">SUM(Q30+Q31)</f>
        <v>0</v>
      </c>
      <c r="R32" s="44">
        <f t="shared" ref="R32" si="268">SUM(R30+R31)</f>
        <v>0</v>
      </c>
      <c r="S32" s="44">
        <f t="shared" ref="S32" si="269">SUM(S30+S31)</f>
        <v>0</v>
      </c>
      <c r="T32" s="44">
        <f t="shared" ref="T32" si="270">SUM(T30+T31)</f>
        <v>0</v>
      </c>
      <c r="U32" s="44">
        <f t="shared" ref="U32" si="271">SUM(U30+U31)</f>
        <v>0</v>
      </c>
      <c r="V32" s="44">
        <f t="shared" ref="V32" si="272">SUM(V30+V31)</f>
        <v>0</v>
      </c>
      <c r="W32" s="44">
        <f t="shared" ref="W32" si="273">SUM(W30+W31)</f>
        <v>0</v>
      </c>
      <c r="X32" s="44">
        <f t="shared" ref="X32" si="274">SUM(X30+X31)</f>
        <v>0</v>
      </c>
      <c r="Y32" s="44">
        <f t="shared" ref="Y32" si="275">SUM(Y30+Y31)</f>
        <v>0</v>
      </c>
      <c r="Z32" s="44">
        <f t="shared" ref="Z32" si="276">SUM(Z30+Z31)</f>
        <v>0</v>
      </c>
      <c r="AA32" s="44">
        <f t="shared" ref="AA32" si="277">SUM(AA30+AA31)</f>
        <v>0</v>
      </c>
      <c r="AB32" s="44">
        <f t="shared" ref="AB32" si="278">SUM(AB30+AB31)</f>
        <v>0</v>
      </c>
      <c r="AC32" s="45">
        <f t="shared" ref="AC32" si="279">SUM(AC30+AC31)</f>
        <v>0</v>
      </c>
      <c r="AD32" s="44">
        <f t="shared" ref="AD32" si="280">SUM(AD30+AD31)</f>
        <v>0</v>
      </c>
      <c r="AE32" s="44">
        <f t="shared" ref="AE32" si="281">SUM(AE30+AE31)</f>
        <v>0</v>
      </c>
      <c r="AF32" s="44">
        <f t="shared" ref="AF32" si="282">SUM(AF30+AF31)</f>
        <v>0</v>
      </c>
      <c r="AG32" s="44">
        <f t="shared" ref="AG32" si="283">SUM(AG30+AG31)</f>
        <v>0</v>
      </c>
      <c r="AH32" s="44">
        <f t="shared" ref="AH32" si="284">SUM(AH30+AH31)</f>
        <v>0</v>
      </c>
      <c r="AI32" s="44">
        <f t="shared" ref="AI32" si="285">SUM(AI30+AI31)</f>
        <v>0</v>
      </c>
      <c r="AJ32" s="44">
        <f t="shared" ref="AJ32" si="286">SUM(AJ30+AJ31)</f>
        <v>0</v>
      </c>
      <c r="AK32" s="44">
        <f t="shared" ref="AK32" si="287">SUM(AK30+AK31)</f>
        <v>0</v>
      </c>
      <c r="AL32" s="46">
        <f t="shared" ref="AL32" si="288">SUM(AL30+AL31)</f>
        <v>0</v>
      </c>
      <c r="AM32" s="114"/>
      <c r="AN32" s="108"/>
      <c r="AO32" s="10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3">
      <c r="A33" s="128">
        <f>Drivers!AN31</f>
        <v>10</v>
      </c>
      <c r="B33" s="49" t="str">
        <f>Drivers!AO31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11">
        <f>SUM(C35:AL35)</f>
        <v>0</v>
      </c>
      <c r="AN33" s="107">
        <f>RANK($AM$6:$AM$35,$AM$6:$AM$35,1&gt;10)</f>
        <v>8</v>
      </c>
      <c r="AO33" s="104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3" x14ac:dyDescent="0.3">
      <c r="A34" s="127"/>
      <c r="B34" s="49" t="str">
        <f>Drivers!AO32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12"/>
      <c r="AN34" s="105"/>
      <c r="AO34" s="105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35">
      <c r="A35" s="129"/>
      <c r="B35" s="54"/>
      <c r="C35" s="35">
        <f>SUM(C33+C34)</f>
        <v>0</v>
      </c>
      <c r="D35" s="35">
        <f t="shared" ref="D35" si="289">SUM(D33+D34)</f>
        <v>0</v>
      </c>
      <c r="E35" s="35">
        <f t="shared" ref="E35" si="290">SUM(E33+E34)</f>
        <v>0</v>
      </c>
      <c r="F35" s="35">
        <f t="shared" ref="F35" si="291">SUM(F33+F34)</f>
        <v>0</v>
      </c>
      <c r="G35" s="35">
        <f t="shared" ref="G35" si="292">SUM(G33+G34)</f>
        <v>0</v>
      </c>
      <c r="H35" s="35">
        <f t="shared" ref="H35" si="293">SUM(H33+H34)</f>
        <v>0</v>
      </c>
      <c r="I35" s="35">
        <f t="shared" ref="I35" si="294">SUM(I33+I34)</f>
        <v>0</v>
      </c>
      <c r="J35" s="35">
        <f t="shared" ref="J35" si="295">SUM(J33+J34)</f>
        <v>0</v>
      </c>
      <c r="K35" s="35">
        <f t="shared" ref="K35" si="296">SUM(K33+K34)</f>
        <v>0</v>
      </c>
      <c r="L35" s="36">
        <f t="shared" ref="L35" si="297">SUM(L33+L34)</f>
        <v>0</v>
      </c>
      <c r="M35" s="35">
        <f t="shared" ref="M35" si="298">SUM(M33+M34)</f>
        <v>0</v>
      </c>
      <c r="N35" s="35">
        <f t="shared" ref="N35" si="299">SUM(N33+N34)</f>
        <v>0</v>
      </c>
      <c r="O35" s="35">
        <f t="shared" ref="O35" si="300">SUM(O33+O34)</f>
        <v>0</v>
      </c>
      <c r="P35" s="35">
        <f t="shared" ref="P35" si="301">SUM(P33+P34)</f>
        <v>0</v>
      </c>
      <c r="Q35" s="35">
        <f t="shared" ref="Q35" si="302">SUM(Q33+Q34)</f>
        <v>0</v>
      </c>
      <c r="R35" s="35">
        <f t="shared" ref="R35" si="303">SUM(R33+R34)</f>
        <v>0</v>
      </c>
      <c r="S35" s="35">
        <f t="shared" ref="S35" si="304">SUM(S33+S34)</f>
        <v>0</v>
      </c>
      <c r="T35" s="35">
        <f t="shared" ref="T35" si="305">SUM(T33+T34)</f>
        <v>0</v>
      </c>
      <c r="U35" s="35">
        <f t="shared" ref="U35" si="306">SUM(U33+U34)</f>
        <v>0</v>
      </c>
      <c r="V35" s="35">
        <f t="shared" ref="V35" si="307">SUM(V33+V34)</f>
        <v>0</v>
      </c>
      <c r="W35" s="35">
        <f t="shared" ref="W35" si="308">SUM(W33+W34)</f>
        <v>0</v>
      </c>
      <c r="X35" s="35">
        <f t="shared" ref="X35" si="309">SUM(X33+X34)</f>
        <v>0</v>
      </c>
      <c r="Y35" s="35">
        <f t="shared" ref="Y35" si="310">SUM(Y33+Y34)</f>
        <v>0</v>
      </c>
      <c r="Z35" s="35">
        <f t="shared" ref="Z35" si="311">SUM(Z33+Z34)</f>
        <v>0</v>
      </c>
      <c r="AA35" s="35">
        <f t="shared" ref="AA35" si="312">SUM(AA33+AA34)</f>
        <v>0</v>
      </c>
      <c r="AB35" s="35">
        <f t="shared" ref="AB35" si="313">SUM(AB33+AB34)</f>
        <v>0</v>
      </c>
      <c r="AC35" s="36">
        <f t="shared" ref="AC35" si="314">SUM(AC33+AC34)</f>
        <v>0</v>
      </c>
      <c r="AD35" s="35">
        <f t="shared" ref="AD35" si="315">SUM(AD33+AD34)</f>
        <v>0</v>
      </c>
      <c r="AE35" s="35">
        <f t="shared" ref="AE35" si="316">SUM(AE33+AE34)</f>
        <v>0</v>
      </c>
      <c r="AF35" s="35">
        <f t="shared" ref="AF35" si="317">SUM(AF33+AF34)</f>
        <v>0</v>
      </c>
      <c r="AG35" s="35">
        <f t="shared" ref="AG35" si="318">SUM(AG33+AG34)</f>
        <v>0</v>
      </c>
      <c r="AH35" s="35">
        <f t="shared" ref="AH35" si="319">SUM(AH33+AH34)</f>
        <v>0</v>
      </c>
      <c r="AI35" s="35">
        <f t="shared" ref="AI35" si="320">SUM(AI33+AI34)</f>
        <v>0</v>
      </c>
      <c r="AJ35" s="35">
        <f t="shared" ref="AJ35" si="321">SUM(AJ33+AJ34)</f>
        <v>0</v>
      </c>
      <c r="AK35" s="35">
        <f t="shared" ref="AK35" si="322">SUM(AK33+AK34)</f>
        <v>0</v>
      </c>
      <c r="AL35" s="37">
        <f t="shared" ref="AL35" si="323">SUM(AL33+AL34)</f>
        <v>0</v>
      </c>
      <c r="AM35" s="117"/>
      <c r="AN35" s="106"/>
      <c r="AO35" s="106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3" x14ac:dyDescent="0.3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3" x14ac:dyDescent="0.3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3" x14ac:dyDescent="0.3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3" x14ac:dyDescent="0.3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3" x14ac:dyDescent="0.3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3" x14ac:dyDescent="0.3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3" x14ac:dyDescent="0.3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3" x14ac:dyDescent="0.3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3" x14ac:dyDescent="0.3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3" x14ac:dyDescent="0.3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3" x14ac:dyDescent="0.3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3" x14ac:dyDescent="0.3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3" x14ac:dyDescent="0.3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3" x14ac:dyDescent="0.3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3" x14ac:dyDescent="0.3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3" x14ac:dyDescent="0.3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3" x14ac:dyDescent="0.3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3" x14ac:dyDescent="0.3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3" x14ac:dyDescent="0.3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3" x14ac:dyDescent="0.3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3" x14ac:dyDescent="0.3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3" x14ac:dyDescent="0.3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3" x14ac:dyDescent="0.3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3" x14ac:dyDescent="0.3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3" x14ac:dyDescent="0.3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3" x14ac:dyDescent="0.3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3" x14ac:dyDescent="0.3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3" x14ac:dyDescent="0.3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3" x14ac:dyDescent="0.3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3" x14ac:dyDescent="0.3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3" x14ac:dyDescent="0.3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3" x14ac:dyDescent="0.3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3" x14ac:dyDescent="0.3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3" x14ac:dyDescent="0.3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3" x14ac:dyDescent="0.3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3" x14ac:dyDescent="0.3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3" x14ac:dyDescent="0.3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3" x14ac:dyDescent="0.3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3" x14ac:dyDescent="0.3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3" x14ac:dyDescent="0.3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3" x14ac:dyDescent="0.3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3" x14ac:dyDescent="0.3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3" x14ac:dyDescent="0.3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3" x14ac:dyDescent="0.3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3" x14ac:dyDescent="0.3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3" x14ac:dyDescent="0.3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3" x14ac:dyDescent="0.3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3" x14ac:dyDescent="0.3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3" x14ac:dyDescent="0.3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3" x14ac:dyDescent="0.3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3" x14ac:dyDescent="0.3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3" x14ac:dyDescent="0.3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3" x14ac:dyDescent="0.3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3" x14ac:dyDescent="0.3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3" x14ac:dyDescent="0.3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3" x14ac:dyDescent="0.3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3" x14ac:dyDescent="0.3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3" x14ac:dyDescent="0.3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3" x14ac:dyDescent="0.3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3" x14ac:dyDescent="0.3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3" x14ac:dyDescent="0.3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3" x14ac:dyDescent="0.3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3" x14ac:dyDescent="0.3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3" x14ac:dyDescent="0.3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3" x14ac:dyDescent="0.3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3" x14ac:dyDescent="0.3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3" x14ac:dyDescent="0.3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3" x14ac:dyDescent="0.3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3" x14ac:dyDescent="0.3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3" x14ac:dyDescent="0.3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3" x14ac:dyDescent="0.3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3" x14ac:dyDescent="0.3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3" x14ac:dyDescent="0.3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3" x14ac:dyDescent="0.3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3" x14ac:dyDescent="0.3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3" x14ac:dyDescent="0.3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3" x14ac:dyDescent="0.3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3" x14ac:dyDescent="0.3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3" x14ac:dyDescent="0.3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3" x14ac:dyDescent="0.3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5">
      <c r="J116" s="4"/>
      <c r="K116" s="4"/>
      <c r="L116" s="4"/>
    </row>
    <row r="117" spans="1:56" s="1" customFormat="1" ht="13" x14ac:dyDescent="0.3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3" x14ac:dyDescent="0.3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5">
      <c r="A119" s="24"/>
      <c r="B119" s="22"/>
      <c r="J119" s="4"/>
      <c r="K119" s="4"/>
      <c r="L119" s="4"/>
    </row>
    <row r="120" spans="1:56" x14ac:dyDescent="0.25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5">
      <c r="A121" s="21"/>
      <c r="C121" s="115"/>
      <c r="D121" s="116"/>
      <c r="E121" s="116"/>
      <c r="F121" s="116"/>
      <c r="G121" s="116"/>
      <c r="H121" s="116"/>
      <c r="I121" s="116"/>
      <c r="J121" s="116"/>
      <c r="K121" s="116"/>
      <c r="L121" s="116"/>
    </row>
    <row r="122" spans="1:56" x14ac:dyDescent="0.25"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</row>
    <row r="123" spans="1:56" x14ac:dyDescent="0.25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5">
      <c r="A124" s="21"/>
      <c r="C124" s="15"/>
      <c r="G124" s="15"/>
      <c r="H124" s="15"/>
    </row>
    <row r="125" spans="1:56" x14ac:dyDescent="0.25">
      <c r="A125" s="21"/>
      <c r="C125" s="15"/>
      <c r="G125" s="5"/>
    </row>
    <row r="126" spans="1:56" x14ac:dyDescent="0.25">
      <c r="C126" s="5"/>
      <c r="G126" s="5"/>
    </row>
    <row r="127" spans="1:56" x14ac:dyDescent="0.25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5">
      <c r="J128" s="4"/>
      <c r="K128" s="4"/>
      <c r="L128" s="4"/>
    </row>
    <row r="129" spans="3:10" x14ac:dyDescent="0.25">
      <c r="C129" s="5"/>
      <c r="G129" s="5"/>
    </row>
    <row r="130" spans="3:10" x14ac:dyDescent="0.25">
      <c r="C130" s="5"/>
      <c r="E130" s="15"/>
      <c r="G130" s="5"/>
      <c r="J130" s="15"/>
    </row>
    <row r="131" spans="3:10" x14ac:dyDescent="0.25">
      <c r="C131" s="5"/>
      <c r="E131" s="5"/>
      <c r="G131" s="5"/>
    </row>
    <row r="132" spans="3:10" x14ac:dyDescent="0.25">
      <c r="C132" s="5"/>
      <c r="E132" s="5"/>
      <c r="G132" s="5"/>
    </row>
    <row r="133" spans="3:10" x14ac:dyDescent="0.25">
      <c r="C133" s="15"/>
      <c r="E133" s="5"/>
      <c r="G133" s="5"/>
    </row>
    <row r="134" spans="3:10" x14ac:dyDescent="0.25">
      <c r="C134" s="5"/>
      <c r="E134" s="5"/>
      <c r="G134" s="5"/>
    </row>
    <row r="135" spans="3:10" x14ac:dyDescent="0.25">
      <c r="C135" s="5"/>
      <c r="E135" s="5"/>
      <c r="G135" s="5"/>
    </row>
    <row r="136" spans="3:10" x14ac:dyDescent="0.25">
      <c r="C136" s="5"/>
      <c r="E136" s="5"/>
      <c r="G136" s="5"/>
    </row>
    <row r="137" spans="3:10" x14ac:dyDescent="0.25">
      <c r="C137" s="5"/>
      <c r="G137" s="5"/>
    </row>
    <row r="138" spans="3:10" x14ac:dyDescent="0.25">
      <c r="C138" s="5"/>
      <c r="G138" s="5"/>
    </row>
    <row r="139" spans="3:10" x14ac:dyDescent="0.25">
      <c r="C139" s="5"/>
      <c r="G139" s="5"/>
    </row>
    <row r="140" spans="3:10" x14ac:dyDescent="0.25">
      <c r="C140" s="5"/>
      <c r="G140" s="5"/>
    </row>
    <row r="141" spans="3:10" x14ac:dyDescent="0.25">
      <c r="C141" s="5"/>
      <c r="G141" s="5"/>
    </row>
    <row r="142" spans="3:10" x14ac:dyDescent="0.25">
      <c r="C142" s="5"/>
      <c r="G142" s="5"/>
    </row>
    <row r="143" spans="3:10" x14ac:dyDescent="0.25">
      <c r="C143" s="5"/>
      <c r="G143" s="5"/>
    </row>
    <row r="144" spans="3:10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</sheetData>
  <mergeCells count="98">
    <mergeCell ref="C1:AO2"/>
    <mergeCell ref="A1:B2"/>
    <mergeCell ref="A6:A8"/>
    <mergeCell ref="A9:A11"/>
    <mergeCell ref="A12:A14"/>
    <mergeCell ref="AM3:AM5"/>
    <mergeCell ref="AN3:AN5"/>
    <mergeCell ref="AO3:AO5"/>
    <mergeCell ref="AB3:AB5"/>
    <mergeCell ref="AC3:AC5"/>
    <mergeCell ref="AD3:AD5"/>
    <mergeCell ref="AE3:AE5"/>
    <mergeCell ref="AF3:AF5"/>
    <mergeCell ref="W3:W5"/>
    <mergeCell ref="X3:X5"/>
    <mergeCell ref="Y3:Y5"/>
    <mergeCell ref="A15:A17"/>
    <mergeCell ref="A18:A20"/>
    <mergeCell ref="A21:A23"/>
    <mergeCell ref="A24:A26"/>
    <mergeCell ref="A27:A29"/>
    <mergeCell ref="A30:A32"/>
    <mergeCell ref="A33:A35"/>
    <mergeCell ref="BB3:BB5"/>
    <mergeCell ref="BC3:BC5"/>
    <mergeCell ref="BD3:BD5"/>
    <mergeCell ref="AW3:AW5"/>
    <mergeCell ref="AX3:AX5"/>
    <mergeCell ref="AY3:AY5"/>
    <mergeCell ref="AZ3:AZ5"/>
    <mergeCell ref="BA3:BA5"/>
    <mergeCell ref="AR3:AR5"/>
    <mergeCell ref="AS3:AS5"/>
    <mergeCell ref="AT3:AT5"/>
    <mergeCell ref="AU3:AU5"/>
    <mergeCell ref="AV3:AV5"/>
    <mergeCell ref="AL3:AL5"/>
    <mergeCell ref="AQ3:AQ5"/>
    <mergeCell ref="AG3:AG5"/>
    <mergeCell ref="AH3:AH5"/>
    <mergeCell ref="AI3:AI5"/>
    <mergeCell ref="AJ3:AJ5"/>
    <mergeCell ref="AK3:AK5"/>
    <mergeCell ref="P3:P5"/>
    <mergeCell ref="Q3:Q5"/>
    <mergeCell ref="Z3:Z5"/>
    <mergeCell ref="AA3:AA5"/>
    <mergeCell ref="R3:R5"/>
    <mergeCell ref="S3:S5"/>
    <mergeCell ref="T3:T5"/>
    <mergeCell ref="U3:U5"/>
    <mergeCell ref="V3:V5"/>
    <mergeCell ref="K3:K5"/>
    <mergeCell ref="L3:L5"/>
    <mergeCell ref="M3:M5"/>
    <mergeCell ref="N3:N5"/>
    <mergeCell ref="O3:O5"/>
    <mergeCell ref="F3:F5"/>
    <mergeCell ref="G3:G5"/>
    <mergeCell ref="H3:H5"/>
    <mergeCell ref="I3:I5"/>
    <mergeCell ref="J3:J5"/>
    <mergeCell ref="B3:B5"/>
    <mergeCell ref="A3:A5"/>
    <mergeCell ref="C3:C5"/>
    <mergeCell ref="D3:D5"/>
    <mergeCell ref="E3:E5"/>
    <mergeCell ref="AM6:AM8"/>
    <mergeCell ref="AM9:AM11"/>
    <mergeCell ref="AM12:AM14"/>
    <mergeCell ref="AM15:AM17"/>
    <mergeCell ref="C121:L122"/>
    <mergeCell ref="AM33:AM35"/>
    <mergeCell ref="AM18:AM20"/>
    <mergeCell ref="AM21:AM23"/>
    <mergeCell ref="AM24:AM26"/>
    <mergeCell ref="AM27:AM29"/>
    <mergeCell ref="AM30:AM32"/>
    <mergeCell ref="AN6:AN8"/>
    <mergeCell ref="AN9:AN11"/>
    <mergeCell ref="AN12:AN14"/>
    <mergeCell ref="AN15:AN17"/>
    <mergeCell ref="AN18:AN20"/>
    <mergeCell ref="AN21:AN23"/>
    <mergeCell ref="AN24:AN26"/>
    <mergeCell ref="AN27:AN29"/>
    <mergeCell ref="AN30:AN32"/>
    <mergeCell ref="AN33:AN35"/>
    <mergeCell ref="AO6:AO8"/>
    <mergeCell ref="AO9:AO11"/>
    <mergeCell ref="AO12:AO14"/>
    <mergeCell ref="AO15:AO17"/>
    <mergeCell ref="AO18:AO20"/>
    <mergeCell ref="AO21:AO23"/>
    <mergeCell ref="AO24:AO26"/>
    <mergeCell ref="AO27:AO29"/>
    <mergeCell ref="AO30:AO32"/>
    <mergeCell ref="AO33:AO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4D283-4429-45C5-BED3-A22E38DF59F6}">
  <dimension ref="A1:BD148"/>
  <sheetViews>
    <sheetView zoomScale="120" zoomScaleNormal="120" workbookViewId="0">
      <pane xSplit="2" topLeftCell="C1" activePane="topRight" state="frozen"/>
      <selection pane="topRight" activeCell="S25" sqref="S25"/>
    </sheetView>
  </sheetViews>
  <sheetFormatPr defaultColWidth="9.1796875" defaultRowHeight="10.5" x14ac:dyDescent="0.25"/>
  <cols>
    <col min="1" max="1" width="5.453125" style="7" bestFit="1" customWidth="1"/>
    <col min="2" max="2" width="10.1796875" style="8" customWidth="1"/>
    <col min="3" max="9" width="3.54296875" style="4" customWidth="1"/>
    <col min="10" max="38" width="3.54296875" style="5" customWidth="1"/>
    <col min="39" max="39" width="7.54296875" style="5" bestFit="1" customWidth="1"/>
    <col min="40" max="40" width="3.54296875" style="5" customWidth="1"/>
    <col min="41" max="42" width="9.453125" style="2" customWidth="1"/>
    <col min="43" max="56" width="3.54296875" style="2" customWidth="1"/>
    <col min="57" max="16384" width="9.1796875" style="2"/>
  </cols>
  <sheetData>
    <row r="1" spans="1:56" ht="22" x14ac:dyDescent="0.25">
      <c r="A1" s="132">
        <v>2025</v>
      </c>
      <c r="B1" s="133"/>
      <c r="C1" s="145" t="s">
        <v>74</v>
      </c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48"/>
    </row>
    <row r="2" spans="1:56" ht="22.5" thickBot="1" x14ac:dyDescent="0.3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48"/>
    </row>
    <row r="3" spans="1:56" ht="11.25" customHeight="1" x14ac:dyDescent="0.25">
      <c r="A3" s="119" t="s">
        <v>18</v>
      </c>
      <c r="B3" s="89" t="s">
        <v>17</v>
      </c>
      <c r="C3" s="93" t="s">
        <v>31</v>
      </c>
      <c r="D3" s="95" t="s">
        <v>32</v>
      </c>
      <c r="E3" s="93" t="s">
        <v>33</v>
      </c>
      <c r="F3" s="95" t="s">
        <v>34</v>
      </c>
      <c r="G3" s="93" t="s">
        <v>35</v>
      </c>
      <c r="H3" s="95" t="s">
        <v>36</v>
      </c>
      <c r="I3" s="93" t="s">
        <v>37</v>
      </c>
      <c r="J3" s="95" t="s">
        <v>38</v>
      </c>
      <c r="K3" s="93" t="s">
        <v>39</v>
      </c>
      <c r="L3" s="95" t="s">
        <v>0</v>
      </c>
      <c r="M3" s="93" t="s">
        <v>1</v>
      </c>
      <c r="N3" s="93" t="s">
        <v>2</v>
      </c>
      <c r="O3" s="93" t="s">
        <v>3</v>
      </c>
      <c r="P3" s="93" t="s">
        <v>4</v>
      </c>
      <c r="Q3" s="93" t="s">
        <v>5</v>
      </c>
      <c r="R3" s="93" t="s">
        <v>6</v>
      </c>
      <c r="S3" s="93" t="s">
        <v>7</v>
      </c>
      <c r="T3" s="93" t="s">
        <v>8</v>
      </c>
      <c r="U3" s="93" t="s">
        <v>9</v>
      </c>
      <c r="V3" s="93" t="s">
        <v>10</v>
      </c>
      <c r="W3" s="93" t="s">
        <v>11</v>
      </c>
      <c r="X3" s="93" t="s">
        <v>12</v>
      </c>
      <c r="Y3" s="93" t="s">
        <v>13</v>
      </c>
      <c r="Z3" s="93" t="s">
        <v>14</v>
      </c>
      <c r="AA3" s="93" t="s">
        <v>15</v>
      </c>
      <c r="AB3" s="93" t="s">
        <v>16</v>
      </c>
      <c r="AC3" s="95" t="s">
        <v>19</v>
      </c>
      <c r="AD3" s="93" t="s">
        <v>20</v>
      </c>
      <c r="AE3" s="93" t="s">
        <v>21</v>
      </c>
      <c r="AF3" s="93" t="s">
        <v>22</v>
      </c>
      <c r="AG3" s="93" t="s">
        <v>23</v>
      </c>
      <c r="AH3" s="93" t="s">
        <v>24</v>
      </c>
      <c r="AI3" s="93" t="s">
        <v>25</v>
      </c>
      <c r="AJ3" s="93" t="s">
        <v>26</v>
      </c>
      <c r="AK3" s="93" t="s">
        <v>27</v>
      </c>
      <c r="AL3" s="91" t="s">
        <v>28</v>
      </c>
      <c r="AM3" s="136" t="s">
        <v>30</v>
      </c>
      <c r="AN3" s="139" t="s">
        <v>29</v>
      </c>
      <c r="AO3" s="142" t="s">
        <v>41</v>
      </c>
      <c r="AP3" s="47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</row>
    <row r="4" spans="1:56" ht="12.75" customHeight="1" x14ac:dyDescent="0.25">
      <c r="A4" s="120"/>
      <c r="B4" s="90"/>
      <c r="C4" s="94"/>
      <c r="D4" s="96"/>
      <c r="E4" s="94"/>
      <c r="F4" s="96"/>
      <c r="G4" s="94"/>
      <c r="H4" s="96"/>
      <c r="I4" s="94"/>
      <c r="J4" s="96"/>
      <c r="K4" s="94"/>
      <c r="L4" s="96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6"/>
      <c r="AD4" s="94"/>
      <c r="AE4" s="94"/>
      <c r="AF4" s="94"/>
      <c r="AG4" s="94"/>
      <c r="AH4" s="94"/>
      <c r="AI4" s="94"/>
      <c r="AJ4" s="94"/>
      <c r="AK4" s="94"/>
      <c r="AL4" s="92"/>
      <c r="AM4" s="137"/>
      <c r="AN4" s="140"/>
      <c r="AO4" s="143"/>
      <c r="AP4" s="47"/>
      <c r="AQ4" s="125"/>
      <c r="AR4" s="130"/>
      <c r="AS4" s="125"/>
      <c r="AT4" s="130"/>
      <c r="AU4" s="125"/>
      <c r="AV4" s="130"/>
      <c r="AW4" s="125"/>
      <c r="AX4" s="130"/>
      <c r="AY4" s="125"/>
      <c r="AZ4" s="130"/>
      <c r="BA4" s="125"/>
      <c r="BB4" s="130"/>
      <c r="BC4" s="125"/>
      <c r="BD4" s="130"/>
    </row>
    <row r="5" spans="1:56" ht="11" thickBot="1" x14ac:dyDescent="0.3">
      <c r="A5" s="121"/>
      <c r="B5" s="118"/>
      <c r="C5" s="122"/>
      <c r="D5" s="123"/>
      <c r="E5" s="122"/>
      <c r="F5" s="123"/>
      <c r="G5" s="122"/>
      <c r="H5" s="123"/>
      <c r="I5" s="122"/>
      <c r="J5" s="123"/>
      <c r="K5" s="122"/>
      <c r="L5" s="123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3"/>
      <c r="AD5" s="122"/>
      <c r="AE5" s="122"/>
      <c r="AF5" s="122"/>
      <c r="AG5" s="122"/>
      <c r="AH5" s="122"/>
      <c r="AI5" s="122"/>
      <c r="AJ5" s="122"/>
      <c r="AK5" s="122"/>
      <c r="AL5" s="131"/>
      <c r="AM5" s="138"/>
      <c r="AN5" s="141"/>
      <c r="AO5" s="144"/>
      <c r="AP5" s="47"/>
      <c r="AQ5" s="125"/>
      <c r="AR5" s="130"/>
      <c r="AS5" s="125"/>
      <c r="AT5" s="130"/>
      <c r="AU5" s="125"/>
      <c r="AV5" s="130"/>
      <c r="AW5" s="125"/>
      <c r="AX5" s="130"/>
      <c r="AY5" s="125"/>
      <c r="AZ5" s="130"/>
      <c r="BA5" s="125"/>
      <c r="BB5" s="130"/>
      <c r="BC5" s="125"/>
      <c r="BD5" s="130"/>
    </row>
    <row r="6" spans="1:56" x14ac:dyDescent="0.25">
      <c r="A6" s="135" t="str">
        <f>Drivers!AQ4</f>
        <v>Dustin</v>
      </c>
      <c r="B6" s="49" t="str">
        <f>Drivers!AR4</f>
        <v>Briscoe</v>
      </c>
      <c r="C6" s="25">
        <f>Drivers!C19</f>
        <v>1</v>
      </c>
      <c r="D6" s="25">
        <f>Drivers!D19</f>
        <v>43</v>
      </c>
      <c r="E6" s="25">
        <f>Drivers!E19</f>
        <v>1</v>
      </c>
      <c r="F6" s="25">
        <f>Drivers!F19</f>
        <v>1</v>
      </c>
      <c r="G6" s="25">
        <f>Drivers!G19</f>
        <v>29</v>
      </c>
      <c r="H6" s="25">
        <f>Drivers!H19</f>
        <v>32</v>
      </c>
      <c r="I6" s="25">
        <f>Drivers!I19</f>
        <v>23</v>
      </c>
      <c r="J6" s="25">
        <f>Drivers!J19</f>
        <v>45</v>
      </c>
      <c r="K6" s="25">
        <f>Drivers!K19</f>
        <v>38</v>
      </c>
      <c r="L6" s="25">
        <f>Drivers!L19</f>
        <v>8</v>
      </c>
      <c r="M6" s="25">
        <f>Drivers!M19</f>
        <v>20</v>
      </c>
      <c r="N6" s="25">
        <f>Drivers!N19</f>
        <v>35</v>
      </c>
      <c r="O6" s="25">
        <f>Drivers!O19</f>
        <v>27</v>
      </c>
      <c r="P6" s="25">
        <f>Drivers!P19</f>
        <v>39</v>
      </c>
      <c r="Q6" s="25">
        <f>Drivers!Q19</f>
        <v>27</v>
      </c>
      <c r="R6" s="25">
        <f>Drivers!R19</f>
        <v>41</v>
      </c>
      <c r="S6" s="25">
        <f>Drivers!S19</f>
        <v>20</v>
      </c>
      <c r="T6" s="25">
        <f>Drivers!T19</f>
        <v>37</v>
      </c>
      <c r="U6" s="25">
        <f>Drivers!U19</f>
        <v>70</v>
      </c>
      <c r="V6" s="25">
        <f>Drivers!V19</f>
        <v>4</v>
      </c>
      <c r="W6" s="25">
        <f>Drivers!W19</f>
        <v>0</v>
      </c>
      <c r="X6" s="25">
        <f>Drivers!X19</f>
        <v>0</v>
      </c>
      <c r="Y6" s="25">
        <f>Drivers!Y19</f>
        <v>0</v>
      </c>
      <c r="Z6" s="25">
        <f>Drivers!Z19</f>
        <v>0</v>
      </c>
      <c r="AA6" s="25">
        <f>Drivers!AA19</f>
        <v>0</v>
      </c>
      <c r="AB6" s="25">
        <f>Drivers!AB19</f>
        <v>0</v>
      </c>
      <c r="AC6" s="25">
        <f>Drivers!AC19</f>
        <v>0</v>
      </c>
      <c r="AD6" s="25">
        <f>Drivers!AD19</f>
        <v>0</v>
      </c>
      <c r="AE6" s="25">
        <f>Drivers!AE19</f>
        <v>0</v>
      </c>
      <c r="AF6" s="25">
        <f>Drivers!AF19</f>
        <v>0</v>
      </c>
      <c r="AG6" s="25">
        <f>Drivers!AG19</f>
        <v>0</v>
      </c>
      <c r="AH6" s="25">
        <f>Drivers!AH19</f>
        <v>0</v>
      </c>
      <c r="AI6" s="25">
        <f>Drivers!AI19</f>
        <v>0</v>
      </c>
      <c r="AJ6" s="25">
        <f>Drivers!AJ19</f>
        <v>0</v>
      </c>
      <c r="AK6" s="25">
        <f>Drivers!AK19</f>
        <v>0</v>
      </c>
      <c r="AL6" s="25">
        <f>Drivers!AL19</f>
        <v>0</v>
      </c>
      <c r="AM6" s="111">
        <f>SUM(C8:AL8)</f>
        <v>969</v>
      </c>
      <c r="AN6" s="110">
        <f>RANK($AM$6:$AM$35,$AM$6:$AM$35,1&gt;10)</f>
        <v>7</v>
      </c>
      <c r="AO6" s="101">
        <f>AVERAGE(C8:AL8)</f>
        <v>26.916666666666668</v>
      </c>
    </row>
    <row r="7" spans="1:56" s="1" customFormat="1" ht="13" x14ac:dyDescent="0.3">
      <c r="A7" s="127"/>
      <c r="B7" s="49" t="str">
        <f>Drivers!AR5</f>
        <v>Logano</v>
      </c>
      <c r="C7" s="26">
        <f>Drivers!C22</f>
        <v>36</v>
      </c>
      <c r="D7" s="26">
        <f>Drivers!D22</f>
        <v>22</v>
      </c>
      <c r="E7" s="26">
        <f>Drivers!E22</f>
        <v>22</v>
      </c>
      <c r="F7" s="26">
        <f>Drivers!F22</f>
        <v>23</v>
      </c>
      <c r="G7" s="26">
        <f>Drivers!G22</f>
        <v>22</v>
      </c>
      <c r="H7" s="26">
        <f>Drivers!H22</f>
        <v>4</v>
      </c>
      <c r="I7" s="26">
        <f>Drivers!I22</f>
        <v>46</v>
      </c>
      <c r="J7" s="26">
        <f>Drivers!J22</f>
        <v>33</v>
      </c>
      <c r="K7" s="26">
        <f>Drivers!K22</f>
        <v>7</v>
      </c>
      <c r="L7" s="26">
        <f>Drivers!L22</f>
        <v>9</v>
      </c>
      <c r="M7" s="26">
        <f>Drivers!M22</f>
        <v>1</v>
      </c>
      <c r="N7" s="26">
        <f>Drivers!N22</f>
        <v>10</v>
      </c>
      <c r="O7" s="26">
        <f>Drivers!O22</f>
        <v>29</v>
      </c>
      <c r="P7" s="26">
        <f>Drivers!P22</f>
        <v>23</v>
      </c>
      <c r="Q7" s="26">
        <f>Drivers!Q22</f>
        <v>32</v>
      </c>
      <c r="R7" s="26">
        <f>Drivers!R22</f>
        <v>5</v>
      </c>
      <c r="S7" s="26">
        <f>Drivers!S22</f>
        <v>23</v>
      </c>
      <c r="T7" s="26">
        <f>Drivers!T22</f>
        <v>13</v>
      </c>
      <c r="U7" s="26">
        <f>Drivers!U22</f>
        <v>25</v>
      </c>
      <c r="V7" s="26">
        <f>Drivers!V22</f>
        <v>43</v>
      </c>
      <c r="W7" s="26">
        <f>Drivers!W22</f>
        <v>0</v>
      </c>
      <c r="X7" s="26">
        <f>Drivers!X22</f>
        <v>0</v>
      </c>
      <c r="Y7" s="26">
        <f>Drivers!Y22</f>
        <v>0</v>
      </c>
      <c r="Z7" s="26">
        <f>Drivers!Z22</f>
        <v>0</v>
      </c>
      <c r="AA7" s="26">
        <f>Drivers!AA22</f>
        <v>0</v>
      </c>
      <c r="AB7" s="26">
        <f>Drivers!AB22</f>
        <v>0</v>
      </c>
      <c r="AC7" s="26">
        <f>Drivers!AC22</f>
        <v>0</v>
      </c>
      <c r="AD7" s="26">
        <f>Drivers!AD22</f>
        <v>0</v>
      </c>
      <c r="AE7" s="26">
        <f>Drivers!AE22</f>
        <v>0</v>
      </c>
      <c r="AF7" s="26">
        <f>Drivers!AF22</f>
        <v>0</v>
      </c>
      <c r="AG7" s="26">
        <f>Drivers!AG22</f>
        <v>0</v>
      </c>
      <c r="AH7" s="26">
        <f>Drivers!AH22</f>
        <v>0</v>
      </c>
      <c r="AI7" s="26">
        <f>Drivers!AI22</f>
        <v>0</v>
      </c>
      <c r="AJ7" s="26">
        <f>Drivers!AJ22</f>
        <v>0</v>
      </c>
      <c r="AK7" s="26">
        <f>Drivers!AK22</f>
        <v>0</v>
      </c>
      <c r="AL7" s="26">
        <f>Drivers!AL22</f>
        <v>0</v>
      </c>
      <c r="AM7" s="112"/>
      <c r="AN7" s="105"/>
      <c r="AO7" s="10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35">
      <c r="A8" s="129"/>
      <c r="B8" s="49"/>
      <c r="C8" s="27">
        <f>SUM(C6+C7)</f>
        <v>37</v>
      </c>
      <c r="D8" s="27">
        <f t="shared" ref="D8:AL8" si="0">SUM(D6+D7)</f>
        <v>65</v>
      </c>
      <c r="E8" s="27">
        <f t="shared" si="0"/>
        <v>23</v>
      </c>
      <c r="F8" s="27">
        <f t="shared" si="0"/>
        <v>24</v>
      </c>
      <c r="G8" s="27">
        <f t="shared" si="0"/>
        <v>51</v>
      </c>
      <c r="H8" s="27">
        <f t="shared" si="0"/>
        <v>36</v>
      </c>
      <c r="I8" s="27">
        <f t="shared" si="0"/>
        <v>69</v>
      </c>
      <c r="J8" s="27">
        <f t="shared" si="0"/>
        <v>78</v>
      </c>
      <c r="K8" s="27">
        <f t="shared" si="0"/>
        <v>45</v>
      </c>
      <c r="L8" s="29">
        <f t="shared" si="0"/>
        <v>17</v>
      </c>
      <c r="M8" s="27">
        <f t="shared" si="0"/>
        <v>21</v>
      </c>
      <c r="N8" s="27">
        <f t="shared" si="0"/>
        <v>45</v>
      </c>
      <c r="O8" s="27">
        <f t="shared" si="0"/>
        <v>56</v>
      </c>
      <c r="P8" s="27">
        <f t="shared" si="0"/>
        <v>62</v>
      </c>
      <c r="Q8" s="27">
        <f t="shared" si="0"/>
        <v>59</v>
      </c>
      <c r="R8" s="27">
        <f t="shared" si="0"/>
        <v>46</v>
      </c>
      <c r="S8" s="27">
        <f t="shared" si="0"/>
        <v>43</v>
      </c>
      <c r="T8" s="27">
        <f t="shared" si="0"/>
        <v>50</v>
      </c>
      <c r="U8" s="27">
        <f t="shared" si="0"/>
        <v>95</v>
      </c>
      <c r="V8" s="27">
        <f t="shared" si="0"/>
        <v>47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12"/>
      <c r="AN8" s="105"/>
      <c r="AO8" s="10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3" x14ac:dyDescent="0.3">
      <c r="A9" s="128" t="str">
        <f>Drivers!AQ7</f>
        <v>Derrick</v>
      </c>
      <c r="B9" s="50" t="str">
        <f>Drivers!AR7</f>
        <v>Bell</v>
      </c>
      <c r="C9" s="38">
        <f>Drivers!C20</f>
        <v>2</v>
      </c>
      <c r="D9" s="38">
        <f>Drivers!D20</f>
        <v>16</v>
      </c>
      <c r="E9" s="38">
        <f>Drivers!E20</f>
        <v>34</v>
      </c>
      <c r="F9" s="38">
        <f>Drivers!F20</f>
        <v>54</v>
      </c>
      <c r="G9" s="38">
        <f>Drivers!G20</f>
        <v>51</v>
      </c>
      <c r="H9" s="38">
        <f>Drivers!H20</f>
        <v>18</v>
      </c>
      <c r="I9" s="38">
        <f>Drivers!I20</f>
        <v>30</v>
      </c>
      <c r="J9" s="38">
        <f>Drivers!J20</f>
        <v>19</v>
      </c>
      <c r="K9" s="38">
        <f>Drivers!K20</f>
        <v>30</v>
      </c>
      <c r="L9" s="38">
        <f>Drivers!L20</f>
        <v>29</v>
      </c>
      <c r="M9" s="38">
        <f>Drivers!M20</f>
        <v>1</v>
      </c>
      <c r="N9" s="38">
        <f>Drivers!N20</f>
        <v>20</v>
      </c>
      <c r="O9" s="38">
        <f>Drivers!O20</f>
        <v>50</v>
      </c>
      <c r="P9" s="38">
        <f>Drivers!P20</f>
        <v>38</v>
      </c>
      <c r="Q9" s="38">
        <f>Drivers!Q20</f>
        <v>11</v>
      </c>
      <c r="R9" s="38">
        <f>Drivers!R20</f>
        <v>11</v>
      </c>
      <c r="S9" s="38">
        <f>Drivers!S20</f>
        <v>1</v>
      </c>
      <c r="T9" s="38">
        <f>Drivers!T20</f>
        <v>50</v>
      </c>
      <c r="U9" s="38">
        <f>Drivers!U20</f>
        <v>40</v>
      </c>
      <c r="V9" s="38">
        <f>Drivers!V20</f>
        <v>39</v>
      </c>
      <c r="W9" s="38">
        <f>Drivers!W20</f>
        <v>0</v>
      </c>
      <c r="X9" s="38">
        <f>Drivers!X20</f>
        <v>0</v>
      </c>
      <c r="Y9" s="38">
        <f>Drivers!Y20</f>
        <v>0</v>
      </c>
      <c r="Z9" s="38">
        <f>Drivers!Z20</f>
        <v>0</v>
      </c>
      <c r="AA9" s="38">
        <f>Drivers!AA20</f>
        <v>0</v>
      </c>
      <c r="AB9" s="38">
        <f>Drivers!AB20</f>
        <v>0</v>
      </c>
      <c r="AC9" s="38">
        <f>Drivers!AC20</f>
        <v>0</v>
      </c>
      <c r="AD9" s="38">
        <f>Drivers!AD20</f>
        <v>0</v>
      </c>
      <c r="AE9" s="38">
        <f>Drivers!AE20</f>
        <v>0</v>
      </c>
      <c r="AF9" s="38">
        <f>Drivers!AF20</f>
        <v>0</v>
      </c>
      <c r="AG9" s="38">
        <f>Drivers!AG20</f>
        <v>0</v>
      </c>
      <c r="AH9" s="38">
        <f>Drivers!AH20</f>
        <v>0</v>
      </c>
      <c r="AI9" s="38">
        <f>Drivers!AI20</f>
        <v>0</v>
      </c>
      <c r="AJ9" s="38">
        <f>Drivers!AJ20</f>
        <v>0</v>
      </c>
      <c r="AK9" s="38">
        <f>Drivers!AK20</f>
        <v>0</v>
      </c>
      <c r="AL9" s="38">
        <f>Drivers!AL20</f>
        <v>0</v>
      </c>
      <c r="AM9" s="113">
        <f>SUM(C11:AL11)</f>
        <v>1111</v>
      </c>
      <c r="AN9" s="107">
        <f>RANK($AM$6:$AM$35,$AM$6:$AM$35,1&gt;10)</f>
        <v>5</v>
      </c>
      <c r="AO9" s="101">
        <f t="shared" ref="AO9" si="1">AVERAGE(C11:AL11)</f>
        <v>30.861111111111111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3">
      <c r="A10" s="127"/>
      <c r="B10" s="49" t="str">
        <f>Drivers!AR8</f>
        <v>Buscher</v>
      </c>
      <c r="C10" s="26">
        <f>Drivers!C18</f>
        <v>39</v>
      </c>
      <c r="D10" s="26">
        <f>Drivers!D18</f>
        <v>22</v>
      </c>
      <c r="E10" s="26">
        <f>Drivers!E18</f>
        <v>19</v>
      </c>
      <c r="F10" s="26">
        <f>Drivers!F18</f>
        <v>30</v>
      </c>
      <c r="G10" s="26">
        <f>Drivers!G18</f>
        <v>35</v>
      </c>
      <c r="H10" s="26">
        <f>Drivers!H18</f>
        <v>42</v>
      </c>
      <c r="I10" s="26">
        <f>Drivers!I18</f>
        <v>18</v>
      </c>
      <c r="J10" s="26">
        <f>Drivers!J18</f>
        <v>24</v>
      </c>
      <c r="K10" s="26">
        <f>Drivers!K18</f>
        <v>29</v>
      </c>
      <c r="L10" s="26">
        <f>Drivers!L18</f>
        <v>50</v>
      </c>
      <c r="M10" s="26">
        <f>Drivers!M18</f>
        <v>36</v>
      </c>
      <c r="N10" s="26">
        <f>Drivers!N18</f>
        <v>30</v>
      </c>
      <c r="O10" s="26">
        <f>Drivers!O18</f>
        <v>10</v>
      </c>
      <c r="P10" s="26">
        <f>Drivers!P18</f>
        <v>8</v>
      </c>
      <c r="Q10" s="26">
        <f>Drivers!Q18</f>
        <v>31</v>
      </c>
      <c r="R10" s="26">
        <f>Drivers!R18</f>
        <v>37</v>
      </c>
      <c r="S10" s="26">
        <f>Drivers!S18</f>
        <v>39</v>
      </c>
      <c r="T10" s="26">
        <f>Drivers!T18</f>
        <v>18</v>
      </c>
      <c r="U10" s="26">
        <f>Drivers!U18</f>
        <v>23</v>
      </c>
      <c r="V10" s="26">
        <f>Drivers!V18</f>
        <v>27</v>
      </c>
      <c r="W10" s="26">
        <f>Drivers!W18</f>
        <v>0</v>
      </c>
      <c r="X10" s="26">
        <f>Drivers!X18</f>
        <v>0</v>
      </c>
      <c r="Y10" s="26">
        <f>Drivers!Y18</f>
        <v>0</v>
      </c>
      <c r="Z10" s="26">
        <f>Drivers!Z18</f>
        <v>0</v>
      </c>
      <c r="AA10" s="26">
        <f>Drivers!AA18</f>
        <v>0</v>
      </c>
      <c r="AB10" s="26">
        <f>Drivers!AB18</f>
        <v>0</v>
      </c>
      <c r="AC10" s="26">
        <f>Drivers!AC18</f>
        <v>0</v>
      </c>
      <c r="AD10" s="26">
        <f>Drivers!AD18</f>
        <v>0</v>
      </c>
      <c r="AE10" s="26">
        <f>Drivers!AE18</f>
        <v>0</v>
      </c>
      <c r="AF10" s="26">
        <f>Drivers!AF18</f>
        <v>0</v>
      </c>
      <c r="AG10" s="26">
        <f>Drivers!AG18</f>
        <v>0</v>
      </c>
      <c r="AH10" s="26">
        <f>Drivers!AH18</f>
        <v>0</v>
      </c>
      <c r="AI10" s="26">
        <f>Drivers!AI18</f>
        <v>0</v>
      </c>
      <c r="AJ10" s="26">
        <f>Drivers!AJ18</f>
        <v>0</v>
      </c>
      <c r="AK10" s="26">
        <f>Drivers!AK18</f>
        <v>0</v>
      </c>
      <c r="AL10" s="26">
        <f>Drivers!AL18</f>
        <v>0</v>
      </c>
      <c r="AM10" s="112"/>
      <c r="AN10" s="105"/>
      <c r="AO10" s="102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35">
      <c r="A11" s="129"/>
      <c r="B11" s="51"/>
      <c r="C11" s="44">
        <f>SUM(C9+C10)</f>
        <v>41</v>
      </c>
      <c r="D11" s="44">
        <f t="shared" ref="D11:AL11" si="2">SUM(D9+D10)</f>
        <v>38</v>
      </c>
      <c r="E11" s="44">
        <f t="shared" si="2"/>
        <v>53</v>
      </c>
      <c r="F11" s="44">
        <f t="shared" si="2"/>
        <v>84</v>
      </c>
      <c r="G11" s="44">
        <f t="shared" si="2"/>
        <v>86</v>
      </c>
      <c r="H11" s="44">
        <f t="shared" si="2"/>
        <v>60</v>
      </c>
      <c r="I11" s="44">
        <f t="shared" si="2"/>
        <v>48</v>
      </c>
      <c r="J11" s="44">
        <f t="shared" si="2"/>
        <v>43</v>
      </c>
      <c r="K11" s="44">
        <f t="shared" si="2"/>
        <v>59</v>
      </c>
      <c r="L11" s="45">
        <f t="shared" si="2"/>
        <v>79</v>
      </c>
      <c r="M11" s="44">
        <f t="shared" si="2"/>
        <v>37</v>
      </c>
      <c r="N11" s="44">
        <f t="shared" si="2"/>
        <v>50</v>
      </c>
      <c r="O11" s="44">
        <f t="shared" si="2"/>
        <v>60</v>
      </c>
      <c r="P11" s="44">
        <f t="shared" si="2"/>
        <v>46</v>
      </c>
      <c r="Q11" s="44">
        <f t="shared" si="2"/>
        <v>42</v>
      </c>
      <c r="R11" s="44">
        <f t="shared" si="2"/>
        <v>48</v>
      </c>
      <c r="S11" s="44">
        <f t="shared" si="2"/>
        <v>40</v>
      </c>
      <c r="T11" s="44">
        <f t="shared" si="2"/>
        <v>68</v>
      </c>
      <c r="U11" s="44">
        <f t="shared" si="2"/>
        <v>63</v>
      </c>
      <c r="V11" s="44">
        <f t="shared" si="2"/>
        <v>66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5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0</v>
      </c>
      <c r="AJ11" s="44">
        <f t="shared" si="2"/>
        <v>0</v>
      </c>
      <c r="AK11" s="44">
        <f t="shared" si="2"/>
        <v>0</v>
      </c>
      <c r="AL11" s="46">
        <f t="shared" si="2"/>
        <v>0</v>
      </c>
      <c r="AM11" s="114"/>
      <c r="AN11" s="108"/>
      <c r="AO11" s="10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3">
      <c r="A12" s="128" t="str">
        <f>Drivers!AQ10</f>
        <v>Kevin</v>
      </c>
      <c r="B12" s="50" t="str">
        <f>Drivers!AR10</f>
        <v>Larson</v>
      </c>
      <c r="C12" s="38">
        <f>Drivers!C8</f>
        <v>21</v>
      </c>
      <c r="D12" s="38">
        <f>Drivers!D8</f>
        <v>13</v>
      </c>
      <c r="E12" s="38">
        <f>Drivers!E8</f>
        <v>31</v>
      </c>
      <c r="F12" s="38">
        <f>Drivers!F8</f>
        <v>36</v>
      </c>
      <c r="G12" s="38">
        <f>Drivers!G8</f>
        <v>48</v>
      </c>
      <c r="H12" s="38">
        <f>Drivers!H8</f>
        <v>19</v>
      </c>
      <c r="I12" s="38">
        <f>Drivers!I8</f>
        <v>30</v>
      </c>
      <c r="J12" s="38">
        <f>Drivers!J8</f>
        <v>54</v>
      </c>
      <c r="K12" s="38">
        <f>Drivers!K8</f>
        <v>54</v>
      </c>
      <c r="L12" s="38">
        <f>Drivers!L8</f>
        <v>1</v>
      </c>
      <c r="M12" s="38">
        <f>Drivers!M8</f>
        <v>3</v>
      </c>
      <c r="N12" s="38">
        <f>Drivers!N8</f>
        <v>14</v>
      </c>
      <c r="O12" s="38">
        <f>Drivers!O8</f>
        <v>54</v>
      </c>
      <c r="P12" s="38">
        <f>Drivers!P8</f>
        <v>23</v>
      </c>
      <c r="Q12" s="38">
        <f>Drivers!Q8</f>
        <v>44</v>
      </c>
      <c r="R12" s="38">
        <f>Drivers!R8</f>
        <v>24</v>
      </c>
      <c r="S12" s="38">
        <f>Drivers!S8</f>
        <v>42</v>
      </c>
      <c r="T12" s="38">
        <f>Drivers!T8</f>
        <v>35</v>
      </c>
      <c r="U12" s="38">
        <f>Drivers!U8</f>
        <v>12</v>
      </c>
      <c r="V12" s="38">
        <f>Drivers!V8</f>
        <v>11</v>
      </c>
      <c r="W12" s="38">
        <f>Drivers!W8</f>
        <v>0</v>
      </c>
      <c r="X12" s="38">
        <f>Drivers!X8</f>
        <v>0</v>
      </c>
      <c r="Y12" s="38">
        <f>Drivers!Y8</f>
        <v>0</v>
      </c>
      <c r="Z12" s="38">
        <f>Drivers!Z8</f>
        <v>0</v>
      </c>
      <c r="AA12" s="38">
        <f>Drivers!AA8</f>
        <v>0</v>
      </c>
      <c r="AB12" s="38">
        <f>Drivers!AB8</f>
        <v>0</v>
      </c>
      <c r="AC12" s="38">
        <f>Drivers!AC8</f>
        <v>0</v>
      </c>
      <c r="AD12" s="38">
        <f>Drivers!AD8</f>
        <v>0</v>
      </c>
      <c r="AE12" s="38">
        <f>Drivers!AE8</f>
        <v>0</v>
      </c>
      <c r="AF12" s="38">
        <f>Drivers!AF8</f>
        <v>0</v>
      </c>
      <c r="AG12" s="38">
        <f>Drivers!AG8</f>
        <v>0</v>
      </c>
      <c r="AH12" s="38">
        <f>Drivers!AH8</f>
        <v>0</v>
      </c>
      <c r="AI12" s="38">
        <f>Drivers!AI8</f>
        <v>0</v>
      </c>
      <c r="AJ12" s="38">
        <f>Drivers!AJ8</f>
        <v>0</v>
      </c>
      <c r="AK12" s="38">
        <f>Drivers!AK8</f>
        <v>0</v>
      </c>
      <c r="AL12" s="38">
        <f>Drivers!AL8</f>
        <v>0</v>
      </c>
      <c r="AM12" s="111">
        <f>SUM(C14:AL14)</f>
        <v>1061</v>
      </c>
      <c r="AN12" s="109">
        <f>RANK($AM$6:$AM$35,$AM$6:$AM$35,1&gt;10)</f>
        <v>6</v>
      </c>
      <c r="AO12" s="101">
        <f t="shared" ref="AO12" si="3">AVERAGE(C14:AL14)</f>
        <v>29.472222222222221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3" x14ac:dyDescent="0.3">
      <c r="A13" s="127"/>
      <c r="B13" s="49" t="str">
        <f>Drivers!AR11</f>
        <v>Wallace</v>
      </c>
      <c r="C13" s="26">
        <f>Drivers!C23</f>
        <v>37</v>
      </c>
      <c r="D13" s="26">
        <f>Drivers!D23</f>
        <v>48</v>
      </c>
      <c r="E13" s="26">
        <f>Drivers!E23</f>
        <v>31</v>
      </c>
      <c r="F13" s="26">
        <f>Drivers!F23</f>
        <v>37</v>
      </c>
      <c r="G13" s="26">
        <f>Drivers!G23</f>
        <v>41</v>
      </c>
      <c r="H13" s="26">
        <f>Drivers!H23</f>
        <v>10</v>
      </c>
      <c r="I13" s="26">
        <f>Drivers!I23</f>
        <v>1</v>
      </c>
      <c r="J13" s="26">
        <f>Drivers!J23</f>
        <v>30</v>
      </c>
      <c r="K13" s="26">
        <f>Drivers!K23</f>
        <v>39</v>
      </c>
      <c r="L13" s="26">
        <f>Drivers!L23</f>
        <v>1</v>
      </c>
      <c r="M13" s="26">
        <f>Drivers!M23</f>
        <v>28</v>
      </c>
      <c r="N13" s="26">
        <f>Drivers!N23</f>
        <v>9</v>
      </c>
      <c r="O13" s="26">
        <f>Drivers!O23</f>
        <v>15</v>
      </c>
      <c r="P13" s="26">
        <f>Drivers!P23</f>
        <v>10</v>
      </c>
      <c r="Q13" s="26">
        <f>Drivers!Q23</f>
        <v>40</v>
      </c>
      <c r="R13" s="26">
        <f>Drivers!R23</f>
        <v>16</v>
      </c>
      <c r="S13" s="26">
        <f>Drivers!S23</f>
        <v>35</v>
      </c>
      <c r="T13" s="26">
        <f>Drivers!T23</f>
        <v>15</v>
      </c>
      <c r="U13" s="26">
        <f>Drivers!U23</f>
        <v>40</v>
      </c>
      <c r="V13" s="26">
        <f>Drivers!V23</f>
        <v>9</v>
      </c>
      <c r="W13" s="26">
        <f>Drivers!W23</f>
        <v>0</v>
      </c>
      <c r="X13" s="26">
        <f>Drivers!X23</f>
        <v>0</v>
      </c>
      <c r="Y13" s="26">
        <f>Drivers!Y23</f>
        <v>0</v>
      </c>
      <c r="Z13" s="26">
        <f>Drivers!Z23</f>
        <v>0</v>
      </c>
      <c r="AA13" s="26">
        <f>Drivers!AA23</f>
        <v>0</v>
      </c>
      <c r="AB13" s="26">
        <f>Drivers!AB23</f>
        <v>0</v>
      </c>
      <c r="AC13" s="26">
        <f>Drivers!AC23</f>
        <v>0</v>
      </c>
      <c r="AD13" s="26">
        <f>Drivers!AD23</f>
        <v>0</v>
      </c>
      <c r="AE13" s="26">
        <f>Drivers!AE23</f>
        <v>0</v>
      </c>
      <c r="AF13" s="26">
        <f>Drivers!AF23</f>
        <v>0</v>
      </c>
      <c r="AG13" s="26">
        <f>Drivers!AG23</f>
        <v>0</v>
      </c>
      <c r="AH13" s="26">
        <f>Drivers!AH23</f>
        <v>0</v>
      </c>
      <c r="AI13" s="26">
        <f>Drivers!AI23</f>
        <v>0</v>
      </c>
      <c r="AJ13" s="26">
        <f>Drivers!AJ23</f>
        <v>0</v>
      </c>
      <c r="AK13" s="26">
        <f>Drivers!AK23</f>
        <v>0</v>
      </c>
      <c r="AL13" s="26">
        <f>Drivers!AL23</f>
        <v>0</v>
      </c>
      <c r="AM13" s="112"/>
      <c r="AN13" s="105"/>
      <c r="AO13" s="102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35">
      <c r="A14" s="129"/>
      <c r="B14" s="52"/>
      <c r="C14" s="44">
        <f>SUM(C12+C13)</f>
        <v>58</v>
      </c>
      <c r="D14" s="44">
        <f t="shared" ref="D14:AL14" si="4">SUM(D12+D13)</f>
        <v>61</v>
      </c>
      <c r="E14" s="44">
        <f t="shared" si="4"/>
        <v>62</v>
      </c>
      <c r="F14" s="44">
        <f t="shared" si="4"/>
        <v>73</v>
      </c>
      <c r="G14" s="44">
        <f t="shared" si="4"/>
        <v>89</v>
      </c>
      <c r="H14" s="44">
        <f t="shared" si="4"/>
        <v>29</v>
      </c>
      <c r="I14" s="44">
        <f t="shared" si="4"/>
        <v>31</v>
      </c>
      <c r="J14" s="44">
        <f t="shared" si="4"/>
        <v>84</v>
      </c>
      <c r="K14" s="44">
        <f t="shared" si="4"/>
        <v>93</v>
      </c>
      <c r="L14" s="45">
        <f t="shared" si="4"/>
        <v>2</v>
      </c>
      <c r="M14" s="44">
        <f t="shared" si="4"/>
        <v>31</v>
      </c>
      <c r="N14" s="44">
        <f t="shared" si="4"/>
        <v>23</v>
      </c>
      <c r="O14" s="44">
        <f t="shared" si="4"/>
        <v>69</v>
      </c>
      <c r="P14" s="44">
        <f t="shared" si="4"/>
        <v>33</v>
      </c>
      <c r="Q14" s="44">
        <f t="shared" si="4"/>
        <v>84</v>
      </c>
      <c r="R14" s="44">
        <f t="shared" si="4"/>
        <v>40</v>
      </c>
      <c r="S14" s="44">
        <f t="shared" si="4"/>
        <v>77</v>
      </c>
      <c r="T14" s="44">
        <f t="shared" si="4"/>
        <v>50</v>
      </c>
      <c r="U14" s="44">
        <f t="shared" si="4"/>
        <v>52</v>
      </c>
      <c r="V14" s="44">
        <f t="shared" si="4"/>
        <v>20</v>
      </c>
      <c r="W14" s="44">
        <f t="shared" si="4"/>
        <v>0</v>
      </c>
      <c r="X14" s="44">
        <f t="shared" si="4"/>
        <v>0</v>
      </c>
      <c r="Y14" s="44">
        <f t="shared" si="4"/>
        <v>0</v>
      </c>
      <c r="Z14" s="44">
        <f t="shared" si="4"/>
        <v>0</v>
      </c>
      <c r="AA14" s="44">
        <f t="shared" si="4"/>
        <v>0</v>
      </c>
      <c r="AB14" s="44">
        <f t="shared" si="4"/>
        <v>0</v>
      </c>
      <c r="AC14" s="45">
        <f t="shared" si="4"/>
        <v>0</v>
      </c>
      <c r="AD14" s="44">
        <f t="shared" si="4"/>
        <v>0</v>
      </c>
      <c r="AE14" s="44">
        <f t="shared" si="4"/>
        <v>0</v>
      </c>
      <c r="AF14" s="44">
        <f t="shared" si="4"/>
        <v>0</v>
      </c>
      <c r="AG14" s="44">
        <f t="shared" si="4"/>
        <v>0</v>
      </c>
      <c r="AH14" s="44">
        <f t="shared" si="4"/>
        <v>0</v>
      </c>
      <c r="AI14" s="44">
        <f t="shared" si="4"/>
        <v>0</v>
      </c>
      <c r="AJ14" s="44">
        <f t="shared" si="4"/>
        <v>0</v>
      </c>
      <c r="AK14" s="44">
        <f t="shared" si="4"/>
        <v>0</v>
      </c>
      <c r="AL14" s="46">
        <f t="shared" si="4"/>
        <v>0</v>
      </c>
      <c r="AM14" s="112"/>
      <c r="AN14" s="105"/>
      <c r="AO14" s="10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3">
      <c r="A15" s="128" t="str">
        <f>Drivers!AQ13</f>
        <v>Gehr (1)</v>
      </c>
      <c r="B15" s="50" t="str">
        <f>Drivers!AR13</f>
        <v>Byron</v>
      </c>
      <c r="C15" s="38">
        <f>Drivers!C24</f>
        <v>25</v>
      </c>
      <c r="D15" s="38">
        <f>Drivers!D24</f>
        <v>25</v>
      </c>
      <c r="E15" s="38">
        <f>Drivers!E24</f>
        <v>26</v>
      </c>
      <c r="F15" s="38">
        <f>Drivers!F24</f>
        <v>32</v>
      </c>
      <c r="G15" s="38">
        <f>Drivers!G24</f>
        <v>49</v>
      </c>
      <c r="H15" s="38">
        <f>Drivers!H24</f>
        <v>34</v>
      </c>
      <c r="I15" s="38">
        <f>Drivers!I24</f>
        <v>47</v>
      </c>
      <c r="J15" s="38">
        <f>Drivers!J24</f>
        <v>7</v>
      </c>
      <c r="K15" s="38">
        <f>Drivers!K24</f>
        <v>30</v>
      </c>
      <c r="L15" s="38">
        <f>Drivers!L24</f>
        <v>2</v>
      </c>
      <c r="M15" s="38">
        <f>Drivers!M24</f>
        <v>31</v>
      </c>
      <c r="N15" s="38">
        <f>Drivers!N24</f>
        <v>1</v>
      </c>
      <c r="O15" s="38">
        <f>Drivers!O24</f>
        <v>28</v>
      </c>
      <c r="P15" s="38">
        <f>Drivers!P24</f>
        <v>15</v>
      </c>
      <c r="Q15" s="38">
        <f>Drivers!Q24</f>
        <v>25</v>
      </c>
      <c r="R15" s="38">
        <f>Drivers!R24</f>
        <v>38</v>
      </c>
      <c r="S15" s="38">
        <f>Drivers!S24</f>
        <v>6</v>
      </c>
      <c r="T15" s="38">
        <f>Drivers!T24</f>
        <v>25</v>
      </c>
      <c r="U15" s="38">
        <f>Drivers!U24</f>
        <v>53</v>
      </c>
      <c r="V15" s="38">
        <f>Drivers!V24</f>
        <v>21</v>
      </c>
      <c r="W15" s="38">
        <f>Drivers!W24</f>
        <v>0</v>
      </c>
      <c r="X15" s="38">
        <f>Drivers!X24</f>
        <v>0</v>
      </c>
      <c r="Y15" s="38">
        <f>Drivers!Y24</f>
        <v>0</v>
      </c>
      <c r="Z15" s="38">
        <f>Drivers!Z24</f>
        <v>0</v>
      </c>
      <c r="AA15" s="38">
        <f>Drivers!AA24</f>
        <v>0</v>
      </c>
      <c r="AB15" s="38">
        <f>Drivers!AB24</f>
        <v>0</v>
      </c>
      <c r="AC15" s="38">
        <f>Drivers!AC24</f>
        <v>0</v>
      </c>
      <c r="AD15" s="38">
        <f>Drivers!AD24</f>
        <v>0</v>
      </c>
      <c r="AE15" s="38">
        <f>Drivers!AE24</f>
        <v>0</v>
      </c>
      <c r="AF15" s="38">
        <f>Drivers!AF24</f>
        <v>0</v>
      </c>
      <c r="AG15" s="38">
        <f>Drivers!AG24</f>
        <v>0</v>
      </c>
      <c r="AH15" s="38">
        <f>Drivers!AH24</f>
        <v>0</v>
      </c>
      <c r="AI15" s="38">
        <f>Drivers!AI24</f>
        <v>0</v>
      </c>
      <c r="AJ15" s="38">
        <f>Drivers!AJ24</f>
        <v>0</v>
      </c>
      <c r="AK15" s="38">
        <f>Drivers!AK24</f>
        <v>0</v>
      </c>
      <c r="AL15" s="38">
        <f>Drivers!AL24</f>
        <v>0</v>
      </c>
      <c r="AM15" s="113">
        <f>SUM(C17:AL17)</f>
        <v>1165</v>
      </c>
      <c r="AN15" s="107">
        <f>RANK($AM$6:$AM$35,$AM$6:$AM$35,1&gt;10)</f>
        <v>3</v>
      </c>
      <c r="AO15" s="101">
        <f t="shared" ref="AO15" si="5">AVERAGE(C17:AL17)</f>
        <v>32.361111111111114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3" x14ac:dyDescent="0.3">
      <c r="A16" s="127"/>
      <c r="B16" s="78" t="str">
        <f>Drivers!AR14</f>
        <v>Gibbs</v>
      </c>
      <c r="C16" s="26">
        <f>Drivers!C11</f>
        <v>29</v>
      </c>
      <c r="D16" s="26">
        <f>Drivers!D11</f>
        <v>7</v>
      </c>
      <c r="E16" s="26">
        <f>Drivers!E11</f>
        <v>25</v>
      </c>
      <c r="F16" s="26">
        <f>Drivers!F11</f>
        <v>20</v>
      </c>
      <c r="G16" s="26">
        <f>Drivers!G39</f>
        <v>39</v>
      </c>
      <c r="H16" s="26">
        <f>Drivers!H39</f>
        <v>33</v>
      </c>
      <c r="I16" s="26">
        <f>Drivers!I39</f>
        <v>49</v>
      </c>
      <c r="J16" s="26">
        <f>Drivers!J39</f>
        <v>59</v>
      </c>
      <c r="K16" s="26">
        <f>Drivers!K39</f>
        <v>38</v>
      </c>
      <c r="L16" s="26">
        <f>Drivers!L39</f>
        <v>3</v>
      </c>
      <c r="M16" s="26">
        <f>Drivers!M39</f>
        <v>8</v>
      </c>
      <c r="N16" s="26">
        <f>Drivers!N39</f>
        <v>42</v>
      </c>
      <c r="O16" s="26">
        <f>Drivers!O39</f>
        <v>53</v>
      </c>
      <c r="P16" s="26">
        <f>Drivers!P39</f>
        <v>24</v>
      </c>
      <c r="Q16" s="26">
        <f>Drivers!Q39</f>
        <v>21</v>
      </c>
      <c r="R16" s="26">
        <f>Drivers!R39</f>
        <v>36</v>
      </c>
      <c r="S16" s="26">
        <f>Drivers!S39</f>
        <v>29</v>
      </c>
      <c r="T16" s="26">
        <f>Drivers!T39</f>
        <v>54</v>
      </c>
      <c r="U16" s="26">
        <f>Drivers!U39</f>
        <v>38</v>
      </c>
      <c r="V16" s="26">
        <f>Drivers!V39</f>
        <v>38</v>
      </c>
      <c r="W16" s="26">
        <f>Drivers!W39</f>
        <v>0</v>
      </c>
      <c r="X16" s="26">
        <f>Drivers!X39</f>
        <v>0</v>
      </c>
      <c r="Y16" s="26">
        <f>Drivers!Y39</f>
        <v>0</v>
      </c>
      <c r="Z16" s="26">
        <f>Drivers!Z39</f>
        <v>0</v>
      </c>
      <c r="AA16" s="26">
        <f>Drivers!AA39</f>
        <v>0</v>
      </c>
      <c r="AB16" s="26">
        <f>Drivers!AB39</f>
        <v>0</v>
      </c>
      <c r="AC16" s="26">
        <f>Drivers!AC39</f>
        <v>0</v>
      </c>
      <c r="AD16" s="26">
        <f>Drivers!AD39</f>
        <v>0</v>
      </c>
      <c r="AE16" s="26">
        <f>Drivers!AE39</f>
        <v>0</v>
      </c>
      <c r="AF16" s="26">
        <f>Drivers!AF39</f>
        <v>0</v>
      </c>
      <c r="AG16" s="26">
        <f>Drivers!AG39</f>
        <v>0</v>
      </c>
      <c r="AH16" s="26">
        <f>Drivers!AH39</f>
        <v>0</v>
      </c>
      <c r="AI16" s="26">
        <f>Drivers!AI39</f>
        <v>0</v>
      </c>
      <c r="AJ16" s="26">
        <f>Drivers!AJ39</f>
        <v>0</v>
      </c>
      <c r="AK16" s="26">
        <f>Drivers!AK39</f>
        <v>0</v>
      </c>
      <c r="AL16" s="26">
        <f>Drivers!AL39</f>
        <v>0</v>
      </c>
      <c r="AM16" s="112"/>
      <c r="AN16" s="105"/>
      <c r="AO16" s="102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35">
      <c r="A17" s="129"/>
      <c r="B17" s="52"/>
      <c r="C17" s="44">
        <f>SUM(C15+C16)</f>
        <v>54</v>
      </c>
      <c r="D17" s="44">
        <f t="shared" ref="D17:AL17" si="6">SUM(D15+D16)</f>
        <v>32</v>
      </c>
      <c r="E17" s="44">
        <f t="shared" si="6"/>
        <v>51</v>
      </c>
      <c r="F17" s="44">
        <f t="shared" si="6"/>
        <v>52</v>
      </c>
      <c r="G17" s="44">
        <f t="shared" si="6"/>
        <v>88</v>
      </c>
      <c r="H17" s="44">
        <f t="shared" si="6"/>
        <v>67</v>
      </c>
      <c r="I17" s="44">
        <f t="shared" si="6"/>
        <v>96</v>
      </c>
      <c r="J17" s="44">
        <f t="shared" si="6"/>
        <v>66</v>
      </c>
      <c r="K17" s="44">
        <f t="shared" si="6"/>
        <v>68</v>
      </c>
      <c r="L17" s="45">
        <f t="shared" si="6"/>
        <v>5</v>
      </c>
      <c r="M17" s="44">
        <f t="shared" si="6"/>
        <v>39</v>
      </c>
      <c r="N17" s="44">
        <f t="shared" si="6"/>
        <v>43</v>
      </c>
      <c r="O17" s="44">
        <f t="shared" si="6"/>
        <v>81</v>
      </c>
      <c r="P17" s="44">
        <f t="shared" si="6"/>
        <v>39</v>
      </c>
      <c r="Q17" s="44">
        <f t="shared" si="6"/>
        <v>46</v>
      </c>
      <c r="R17" s="44">
        <f t="shared" si="6"/>
        <v>74</v>
      </c>
      <c r="S17" s="44">
        <f t="shared" si="6"/>
        <v>35</v>
      </c>
      <c r="T17" s="44">
        <f t="shared" si="6"/>
        <v>79</v>
      </c>
      <c r="U17" s="44">
        <f t="shared" si="6"/>
        <v>91</v>
      </c>
      <c r="V17" s="44">
        <f t="shared" si="6"/>
        <v>59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5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46">
        <f t="shared" si="6"/>
        <v>0</v>
      </c>
      <c r="AM17" s="114"/>
      <c r="AN17" s="108"/>
      <c r="AO17" s="10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3">
      <c r="A18" s="128" t="str">
        <f>Drivers!AQ16</f>
        <v>Devin  (1)</v>
      </c>
      <c r="B18" s="49" t="str">
        <f>Drivers!AR16</f>
        <v>Hamlin</v>
      </c>
      <c r="C18" s="38">
        <f>Drivers!C14</f>
        <v>6</v>
      </c>
      <c r="D18" s="38">
        <f>Drivers!D14</f>
        <v>24</v>
      </c>
      <c r="E18" s="38">
        <f>Drivers!E14</f>
        <v>28</v>
      </c>
      <c r="F18" s="38">
        <f>Drivers!F14</f>
        <v>47</v>
      </c>
      <c r="G18" s="38">
        <f>Drivers!G14</f>
        <v>70</v>
      </c>
      <c r="H18" s="38">
        <f>Drivers!H14</f>
        <v>26</v>
      </c>
      <c r="I18" s="38">
        <f>Drivers!I14</f>
        <v>56</v>
      </c>
      <c r="J18" s="38">
        <f>Drivers!J14</f>
        <v>41</v>
      </c>
      <c r="K18" s="38">
        <f>Drivers!K14</f>
        <v>52</v>
      </c>
      <c r="L18" s="38">
        <f>Drivers!L14</f>
        <v>22</v>
      </c>
      <c r="M18" s="38">
        <f>Drivers!M14</f>
        <v>43</v>
      </c>
      <c r="N18" s="38">
        <f>Drivers!N14</f>
        <v>21</v>
      </c>
      <c r="O18" s="38">
        <f>Drivers!O14</f>
        <v>60</v>
      </c>
      <c r="P18" s="38">
        <f>Drivers!P14</f>
        <v>62</v>
      </c>
      <c r="Q18" s="38">
        <f>Drivers!Q14</f>
        <v>58</v>
      </c>
      <c r="R18" s="38">
        <f>Drivers!R14</f>
        <v>67</v>
      </c>
      <c r="S18" s="38">
        <f>Drivers!S14</f>
        <v>23</v>
      </c>
      <c r="T18" s="38">
        <f>Drivers!T14</f>
        <v>11</v>
      </c>
      <c r="U18" s="38">
        <f>Drivers!U14</f>
        <v>45</v>
      </c>
      <c r="V18" s="38">
        <f>Drivers!V14</f>
        <v>27</v>
      </c>
      <c r="W18" s="38">
        <f>Drivers!W14</f>
        <v>0</v>
      </c>
      <c r="X18" s="38">
        <f>Drivers!X14</f>
        <v>0</v>
      </c>
      <c r="Y18" s="38">
        <f>Drivers!Y14</f>
        <v>0</v>
      </c>
      <c r="Z18" s="38">
        <f>Drivers!Z14</f>
        <v>0</v>
      </c>
      <c r="AA18" s="38">
        <f>Drivers!AA14</f>
        <v>0</v>
      </c>
      <c r="AB18" s="38">
        <f>Drivers!AB14</f>
        <v>0</v>
      </c>
      <c r="AC18" s="38">
        <f>Drivers!AC14</f>
        <v>0</v>
      </c>
      <c r="AD18" s="38">
        <f>Drivers!AD14</f>
        <v>0</v>
      </c>
      <c r="AE18" s="38">
        <f>Drivers!AE14</f>
        <v>0</v>
      </c>
      <c r="AF18" s="38">
        <f>Drivers!AF14</f>
        <v>0</v>
      </c>
      <c r="AG18" s="38">
        <f>Drivers!AG14</f>
        <v>0</v>
      </c>
      <c r="AH18" s="38">
        <f>Drivers!AH14</f>
        <v>0</v>
      </c>
      <c r="AI18" s="38">
        <f>Drivers!AI14</f>
        <v>0</v>
      </c>
      <c r="AJ18" s="38">
        <f>Drivers!AJ14</f>
        <v>0</v>
      </c>
      <c r="AK18" s="38">
        <f>Drivers!AK14</f>
        <v>0</v>
      </c>
      <c r="AL18" s="38">
        <f>Drivers!AL14</f>
        <v>0</v>
      </c>
      <c r="AM18" s="113">
        <f>SUM(C20:AL20)</f>
        <v>1292</v>
      </c>
      <c r="AN18" s="109">
        <f>RANK($AM$6:$AM$35,$AM$6:$AM$35,1&gt;10)</f>
        <v>2</v>
      </c>
      <c r="AO18" s="101">
        <f t="shared" ref="AO18" si="7">AVERAGE(C20:AL20)</f>
        <v>35.888888888888886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3" x14ac:dyDescent="0.3">
      <c r="A19" s="127"/>
      <c r="B19" s="78" t="str">
        <f>Drivers!AR17</f>
        <v>Hosevar</v>
      </c>
      <c r="C19" s="26">
        <f>Drivers!C36</f>
        <v>3</v>
      </c>
      <c r="D19" s="26">
        <f>Drivers!D36</f>
        <v>14</v>
      </c>
      <c r="E19" s="26">
        <f>Drivers!E36</f>
        <v>5</v>
      </c>
      <c r="F19" s="26">
        <f>Drivers!F42</f>
        <v>21</v>
      </c>
      <c r="G19" s="26">
        <f>Drivers!G42</f>
        <v>15</v>
      </c>
      <c r="H19" s="26">
        <f>Drivers!H42</f>
        <v>33</v>
      </c>
      <c r="I19" s="26">
        <f>Drivers!I42</f>
        <v>20</v>
      </c>
      <c r="J19" s="26">
        <f>Drivers!J42</f>
        <v>38</v>
      </c>
      <c r="K19" s="26">
        <f>Drivers!K42</f>
        <v>28</v>
      </c>
      <c r="L19" s="26">
        <f>Drivers!L42</f>
        <v>55</v>
      </c>
      <c r="M19" s="26">
        <f>Drivers!M42</f>
        <v>41</v>
      </c>
      <c r="N19" s="26">
        <f>Drivers!N42</f>
        <v>9</v>
      </c>
      <c r="O19" s="26">
        <f>Drivers!O42</f>
        <v>14</v>
      </c>
      <c r="P19" s="26">
        <f>Drivers!P42</f>
        <v>27</v>
      </c>
      <c r="Q19" s="26">
        <f>Drivers!Q42</f>
        <v>45</v>
      </c>
      <c r="R19" s="26">
        <f>Drivers!R42</f>
        <v>21</v>
      </c>
      <c r="S19" s="26">
        <f>Drivers!S42</f>
        <v>27</v>
      </c>
      <c r="T19" s="26">
        <f>Drivers!T42</f>
        <v>33</v>
      </c>
      <c r="U19" s="26">
        <f>Drivers!U42</f>
        <v>15</v>
      </c>
      <c r="V19" s="26">
        <f>Drivers!V42</f>
        <v>39</v>
      </c>
      <c r="W19" s="26">
        <f>Drivers!W42</f>
        <v>0</v>
      </c>
      <c r="X19" s="26">
        <f>Drivers!X42</f>
        <v>0</v>
      </c>
      <c r="Y19" s="26">
        <f>Drivers!Y42</f>
        <v>0</v>
      </c>
      <c r="Z19" s="26">
        <f>Drivers!Z42</f>
        <v>0</v>
      </c>
      <c r="AA19" s="26">
        <f>Drivers!AA42</f>
        <v>0</v>
      </c>
      <c r="AB19" s="26">
        <f>Drivers!AB42</f>
        <v>0</v>
      </c>
      <c r="AC19" s="26">
        <f>Drivers!AC42</f>
        <v>0</v>
      </c>
      <c r="AD19" s="26">
        <f>Drivers!AD42</f>
        <v>0</v>
      </c>
      <c r="AE19" s="26">
        <f>Drivers!AE42</f>
        <v>0</v>
      </c>
      <c r="AF19" s="26">
        <f>Drivers!AF42</f>
        <v>0</v>
      </c>
      <c r="AG19" s="26">
        <f>Drivers!AG42</f>
        <v>0</v>
      </c>
      <c r="AH19" s="26">
        <f>Drivers!AH42</f>
        <v>0</v>
      </c>
      <c r="AI19" s="26">
        <f>Drivers!AI42</f>
        <v>0</v>
      </c>
      <c r="AJ19" s="26">
        <f>Drivers!AJ42</f>
        <v>0</v>
      </c>
      <c r="AK19" s="26">
        <f>Drivers!AK42</f>
        <v>0</v>
      </c>
      <c r="AL19" s="26">
        <f>Drivers!AL42</f>
        <v>0</v>
      </c>
      <c r="AM19" s="112"/>
      <c r="AN19" s="105"/>
      <c r="AO19" s="102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35">
      <c r="A20" s="129"/>
      <c r="B20" s="52"/>
      <c r="C20" s="44">
        <f>SUM(C18+C19)</f>
        <v>9</v>
      </c>
      <c r="D20" s="44">
        <f t="shared" ref="D20:AL20" si="8">SUM(D18+D19)</f>
        <v>38</v>
      </c>
      <c r="E20" s="44">
        <f t="shared" si="8"/>
        <v>33</v>
      </c>
      <c r="F20" s="44">
        <f t="shared" si="8"/>
        <v>68</v>
      </c>
      <c r="G20" s="44">
        <f t="shared" si="8"/>
        <v>85</v>
      </c>
      <c r="H20" s="44">
        <f t="shared" si="8"/>
        <v>59</v>
      </c>
      <c r="I20" s="44">
        <f t="shared" si="8"/>
        <v>76</v>
      </c>
      <c r="J20" s="44">
        <f t="shared" si="8"/>
        <v>79</v>
      </c>
      <c r="K20" s="44">
        <f t="shared" si="8"/>
        <v>80</v>
      </c>
      <c r="L20" s="45">
        <f t="shared" si="8"/>
        <v>77</v>
      </c>
      <c r="M20" s="44">
        <f t="shared" si="8"/>
        <v>84</v>
      </c>
      <c r="N20" s="44">
        <f t="shared" si="8"/>
        <v>30</v>
      </c>
      <c r="O20" s="44">
        <f t="shared" si="8"/>
        <v>74</v>
      </c>
      <c r="P20" s="44">
        <f t="shared" si="8"/>
        <v>89</v>
      </c>
      <c r="Q20" s="44">
        <f t="shared" si="8"/>
        <v>103</v>
      </c>
      <c r="R20" s="44">
        <f t="shared" si="8"/>
        <v>88</v>
      </c>
      <c r="S20" s="44">
        <f t="shared" si="8"/>
        <v>50</v>
      </c>
      <c r="T20" s="44">
        <f t="shared" si="8"/>
        <v>44</v>
      </c>
      <c r="U20" s="44">
        <f t="shared" si="8"/>
        <v>60</v>
      </c>
      <c r="V20" s="44">
        <f t="shared" si="8"/>
        <v>66</v>
      </c>
      <c r="W20" s="44">
        <f t="shared" si="8"/>
        <v>0</v>
      </c>
      <c r="X20" s="44">
        <f t="shared" si="8"/>
        <v>0</v>
      </c>
      <c r="Y20" s="44">
        <f t="shared" si="8"/>
        <v>0</v>
      </c>
      <c r="Z20" s="44">
        <f t="shared" si="8"/>
        <v>0</v>
      </c>
      <c r="AA20" s="44">
        <f t="shared" si="8"/>
        <v>0</v>
      </c>
      <c r="AB20" s="44">
        <f t="shared" si="8"/>
        <v>0</v>
      </c>
      <c r="AC20" s="45">
        <f t="shared" si="8"/>
        <v>0</v>
      </c>
      <c r="AD20" s="44">
        <f t="shared" si="8"/>
        <v>0</v>
      </c>
      <c r="AE20" s="44">
        <f t="shared" si="8"/>
        <v>0</v>
      </c>
      <c r="AF20" s="44">
        <f t="shared" si="8"/>
        <v>0</v>
      </c>
      <c r="AG20" s="44">
        <f t="shared" si="8"/>
        <v>0</v>
      </c>
      <c r="AH20" s="44">
        <f t="shared" si="8"/>
        <v>0</v>
      </c>
      <c r="AI20" s="44">
        <f t="shared" si="8"/>
        <v>0</v>
      </c>
      <c r="AJ20" s="44">
        <f t="shared" si="8"/>
        <v>0</v>
      </c>
      <c r="AK20" s="44">
        <f t="shared" si="8"/>
        <v>0</v>
      </c>
      <c r="AL20" s="46">
        <f t="shared" si="8"/>
        <v>0</v>
      </c>
      <c r="AM20" s="114"/>
      <c r="AN20" s="105"/>
      <c r="AO20" s="10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3">
      <c r="A21" s="128" t="str">
        <f>Drivers!AQ19</f>
        <v>Jack-n-Bob</v>
      </c>
      <c r="B21" s="50" t="str">
        <f>Drivers!AR19</f>
        <v>Conner Z.</v>
      </c>
      <c r="C21" s="38">
        <f>Drivers!C45</f>
        <v>4</v>
      </c>
      <c r="D21" s="38">
        <f>Drivers!D45</f>
        <v>9</v>
      </c>
      <c r="E21" s="38">
        <f>Drivers!E45</f>
        <v>23</v>
      </c>
      <c r="F21" s="38">
        <f>Drivers!F45</f>
        <v>8</v>
      </c>
      <c r="G21" s="38">
        <f>Drivers!G45</f>
        <v>5</v>
      </c>
      <c r="H21" s="38">
        <f>Drivers!H45</f>
        <v>19</v>
      </c>
      <c r="I21" s="38">
        <f>Drivers!I45</f>
        <v>11</v>
      </c>
      <c r="J21" s="38">
        <f>Drivers!J45</f>
        <v>4</v>
      </c>
      <c r="K21" s="38">
        <f>Drivers!K45</f>
        <v>8</v>
      </c>
      <c r="L21" s="38">
        <f>Drivers!L45</f>
        <v>11</v>
      </c>
      <c r="M21" s="38">
        <f>Drivers!M45</f>
        <v>21</v>
      </c>
      <c r="N21" s="38">
        <f>Drivers!N45</f>
        <v>21</v>
      </c>
      <c r="O21" s="38">
        <f>Drivers!O45</f>
        <v>1</v>
      </c>
      <c r="P21" s="38">
        <f>Drivers!P45</f>
        <v>1</v>
      </c>
      <c r="Q21" s="38">
        <f>Drivers!Q45</f>
        <v>1</v>
      </c>
      <c r="R21" s="38">
        <f>Drivers!R45</f>
        <v>14</v>
      </c>
      <c r="S21" s="38">
        <f>Drivers!S45</f>
        <v>3</v>
      </c>
      <c r="T21" s="38">
        <f>Drivers!T45</f>
        <v>33</v>
      </c>
      <c r="U21" s="38">
        <f>Drivers!U45</f>
        <v>1</v>
      </c>
      <c r="V21" s="38">
        <f>Drivers!V45</f>
        <v>9</v>
      </c>
      <c r="W21" s="38">
        <f>Drivers!W45</f>
        <v>0</v>
      </c>
      <c r="X21" s="38">
        <f>Drivers!X45</f>
        <v>0</v>
      </c>
      <c r="Y21" s="38">
        <f>Drivers!Y45</f>
        <v>0</v>
      </c>
      <c r="Z21" s="38">
        <f>Drivers!Z45</f>
        <v>0</v>
      </c>
      <c r="AA21" s="38">
        <f>Drivers!AA45</f>
        <v>0</v>
      </c>
      <c r="AB21" s="38">
        <f>Drivers!AB45</f>
        <v>0</v>
      </c>
      <c r="AC21" s="38">
        <f>Drivers!AC45</f>
        <v>0</v>
      </c>
      <c r="AD21" s="38">
        <f>Drivers!AD45</f>
        <v>0</v>
      </c>
      <c r="AE21" s="38">
        <f>Drivers!AE45</f>
        <v>0</v>
      </c>
      <c r="AF21" s="38">
        <f>Drivers!AF45</f>
        <v>0</v>
      </c>
      <c r="AG21" s="38">
        <f>Drivers!AG45</f>
        <v>0</v>
      </c>
      <c r="AH21" s="38">
        <f>Drivers!AH45</f>
        <v>0</v>
      </c>
      <c r="AI21" s="38">
        <f>Drivers!AI45</f>
        <v>0</v>
      </c>
      <c r="AJ21" s="38">
        <f>Drivers!AJ45</f>
        <v>0</v>
      </c>
      <c r="AK21" s="38">
        <f>Drivers!AK45</f>
        <v>0</v>
      </c>
      <c r="AL21" s="38">
        <f>Drivers!AL45</f>
        <v>0</v>
      </c>
      <c r="AM21" s="113">
        <f>SUM(C23:AL23)</f>
        <v>653</v>
      </c>
      <c r="AN21" s="107">
        <f>RANK($AM$6:$AM$35,$AM$6:$AM$35,1&gt;10)</f>
        <v>8</v>
      </c>
      <c r="AO21" s="101">
        <f t="shared" ref="AO21" si="9">AVERAGE(C23:AL23)</f>
        <v>18.138888888888889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3" x14ac:dyDescent="0.3">
      <c r="A22" s="127"/>
      <c r="B22" s="49" t="str">
        <f>Drivers!AR20</f>
        <v>E. Jones</v>
      </c>
      <c r="C22" s="26">
        <f>Drivers!C32</f>
        <v>16</v>
      </c>
      <c r="D22" s="26">
        <f>Drivers!D32</f>
        <v>13</v>
      </c>
      <c r="E22" s="26">
        <f>Drivers!E32</f>
        <v>3</v>
      </c>
      <c r="F22" s="26">
        <f>Drivers!F32</f>
        <v>27</v>
      </c>
      <c r="G22" s="26">
        <f>Drivers!G32</f>
        <v>17</v>
      </c>
      <c r="H22" s="26">
        <f>Drivers!H32</f>
        <v>27</v>
      </c>
      <c r="I22" s="26">
        <f>Drivers!I32</f>
        <v>16</v>
      </c>
      <c r="J22" s="26">
        <f>Drivers!J32</f>
        <v>14</v>
      </c>
      <c r="K22" s="26">
        <f>Drivers!K32</f>
        <v>14</v>
      </c>
      <c r="L22" s="26">
        <f>Drivers!L32</f>
        <v>14</v>
      </c>
      <c r="M22" s="26">
        <f>Drivers!M32</f>
        <v>35</v>
      </c>
      <c r="N22" s="26">
        <f>Drivers!N32</f>
        <v>18</v>
      </c>
      <c r="O22" s="26">
        <f>Drivers!O32</f>
        <v>30</v>
      </c>
      <c r="P22" s="26">
        <f>Drivers!P32</f>
        <v>26</v>
      </c>
      <c r="Q22" s="26">
        <f>Drivers!Q32</f>
        <v>44</v>
      </c>
      <c r="R22" s="26">
        <f>Drivers!R32</f>
        <v>41</v>
      </c>
      <c r="S22" s="26">
        <f>Drivers!S32</f>
        <v>17</v>
      </c>
      <c r="T22" s="26">
        <f>Drivers!T32</f>
        <v>17</v>
      </c>
      <c r="U22" s="26">
        <f>Drivers!U32</f>
        <v>22</v>
      </c>
      <c r="V22" s="26">
        <f>Drivers!V32</f>
        <v>35</v>
      </c>
      <c r="W22" s="26">
        <f>Drivers!W32</f>
        <v>0</v>
      </c>
      <c r="X22" s="26">
        <f>Drivers!X32</f>
        <v>0</v>
      </c>
      <c r="Y22" s="26">
        <f>Drivers!Y32</f>
        <v>0</v>
      </c>
      <c r="Z22" s="26">
        <f>Drivers!Z32</f>
        <v>0</v>
      </c>
      <c r="AA22" s="26">
        <f>Drivers!AA32</f>
        <v>0</v>
      </c>
      <c r="AB22" s="26">
        <f>Drivers!AB32</f>
        <v>0</v>
      </c>
      <c r="AC22" s="26">
        <f>Drivers!AC32</f>
        <v>0</v>
      </c>
      <c r="AD22" s="26">
        <f>Drivers!AD32</f>
        <v>0</v>
      </c>
      <c r="AE22" s="26">
        <f>Drivers!AE32</f>
        <v>0</v>
      </c>
      <c r="AF22" s="26">
        <f>Drivers!AF32</f>
        <v>0</v>
      </c>
      <c r="AG22" s="26">
        <f>Drivers!AG32</f>
        <v>0</v>
      </c>
      <c r="AH22" s="26">
        <f>Drivers!AH32</f>
        <v>0</v>
      </c>
      <c r="AI22" s="26">
        <f>Drivers!AI32</f>
        <v>0</v>
      </c>
      <c r="AJ22" s="26">
        <f>Drivers!AJ32</f>
        <v>0</v>
      </c>
      <c r="AK22" s="26">
        <f>Drivers!AK32</f>
        <v>0</v>
      </c>
      <c r="AL22" s="26">
        <f>Drivers!AL32</f>
        <v>0</v>
      </c>
      <c r="AM22" s="112"/>
      <c r="AN22" s="105"/>
      <c r="AO22" s="102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35">
      <c r="A23" s="129"/>
      <c r="B23" s="51"/>
      <c r="C23" s="44">
        <f>SUM(C21+C22)</f>
        <v>20</v>
      </c>
      <c r="D23" s="44">
        <f t="shared" ref="D23:AL23" si="10">SUM(D21+D22)</f>
        <v>22</v>
      </c>
      <c r="E23" s="44">
        <f t="shared" si="10"/>
        <v>26</v>
      </c>
      <c r="F23" s="44">
        <f t="shared" si="10"/>
        <v>35</v>
      </c>
      <c r="G23" s="44">
        <f t="shared" si="10"/>
        <v>22</v>
      </c>
      <c r="H23" s="44">
        <f t="shared" si="10"/>
        <v>46</v>
      </c>
      <c r="I23" s="44">
        <f t="shared" si="10"/>
        <v>27</v>
      </c>
      <c r="J23" s="44">
        <f t="shared" si="10"/>
        <v>18</v>
      </c>
      <c r="K23" s="44">
        <f t="shared" si="10"/>
        <v>22</v>
      </c>
      <c r="L23" s="45">
        <f t="shared" si="10"/>
        <v>25</v>
      </c>
      <c r="M23" s="44">
        <f t="shared" si="10"/>
        <v>56</v>
      </c>
      <c r="N23" s="44">
        <f t="shared" si="10"/>
        <v>39</v>
      </c>
      <c r="O23" s="44">
        <f t="shared" si="10"/>
        <v>31</v>
      </c>
      <c r="P23" s="44">
        <f t="shared" si="10"/>
        <v>27</v>
      </c>
      <c r="Q23" s="44">
        <f t="shared" si="10"/>
        <v>45</v>
      </c>
      <c r="R23" s="44">
        <f t="shared" si="10"/>
        <v>55</v>
      </c>
      <c r="S23" s="44">
        <f t="shared" si="10"/>
        <v>20</v>
      </c>
      <c r="T23" s="44">
        <f t="shared" si="10"/>
        <v>50</v>
      </c>
      <c r="U23" s="44">
        <f t="shared" si="10"/>
        <v>23</v>
      </c>
      <c r="V23" s="44">
        <f t="shared" si="10"/>
        <v>44</v>
      </c>
      <c r="W23" s="44">
        <f t="shared" si="10"/>
        <v>0</v>
      </c>
      <c r="X23" s="44">
        <f t="shared" si="10"/>
        <v>0</v>
      </c>
      <c r="Y23" s="44">
        <f t="shared" si="10"/>
        <v>0</v>
      </c>
      <c r="Z23" s="44">
        <f t="shared" si="10"/>
        <v>0</v>
      </c>
      <c r="AA23" s="44">
        <f t="shared" si="10"/>
        <v>0</v>
      </c>
      <c r="AB23" s="44">
        <f t="shared" si="10"/>
        <v>0</v>
      </c>
      <c r="AC23" s="45">
        <f t="shared" si="10"/>
        <v>0</v>
      </c>
      <c r="AD23" s="44">
        <f t="shared" si="10"/>
        <v>0</v>
      </c>
      <c r="AE23" s="44">
        <f t="shared" si="10"/>
        <v>0</v>
      </c>
      <c r="AF23" s="44">
        <f t="shared" si="10"/>
        <v>0</v>
      </c>
      <c r="AG23" s="44">
        <f t="shared" si="10"/>
        <v>0</v>
      </c>
      <c r="AH23" s="44">
        <f t="shared" si="10"/>
        <v>0</v>
      </c>
      <c r="AI23" s="44">
        <f t="shared" si="10"/>
        <v>0</v>
      </c>
      <c r="AJ23" s="44">
        <f t="shared" si="10"/>
        <v>0</v>
      </c>
      <c r="AK23" s="44">
        <f t="shared" si="10"/>
        <v>0</v>
      </c>
      <c r="AL23" s="46">
        <f t="shared" si="10"/>
        <v>0</v>
      </c>
      <c r="AM23" s="114"/>
      <c r="AN23" s="108"/>
      <c r="AO23" s="10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3">
      <c r="A24" s="128" t="str">
        <f>Drivers!AQ22</f>
        <v>Ray (2)</v>
      </c>
      <c r="B24" s="50" t="str">
        <f>Drivers!AR22</f>
        <v>Blaney</v>
      </c>
      <c r="C24" s="38">
        <f>Drivers!C15</f>
        <v>27</v>
      </c>
      <c r="D24" s="38">
        <f>Drivers!D15</f>
        <v>31</v>
      </c>
      <c r="E24" s="38">
        <f>Drivers!E15</f>
        <v>33</v>
      </c>
      <c r="F24" s="38">
        <f>Drivers!F15</f>
        <v>65</v>
      </c>
      <c r="G24" s="38">
        <f>Drivers!G15</f>
        <v>23</v>
      </c>
      <c r="H24" s="38">
        <f>Drivers!H15</f>
        <v>42</v>
      </c>
      <c r="I24" s="38">
        <f>Drivers!I15</f>
        <v>41</v>
      </c>
      <c r="J24" s="38">
        <f>Drivers!J15</f>
        <v>53</v>
      </c>
      <c r="K24" s="38">
        <f>Drivers!K15</f>
        <v>13</v>
      </c>
      <c r="L24" s="38">
        <f>Drivers!L15</f>
        <v>7</v>
      </c>
      <c r="M24" s="38">
        <f>Drivers!M15</f>
        <v>27</v>
      </c>
      <c r="N24" s="38">
        <f>Drivers!N15</f>
        <v>34</v>
      </c>
      <c r="O24" s="38">
        <f>Drivers!O15</f>
        <v>41</v>
      </c>
      <c r="P24" s="38">
        <f>Drivers!P15</f>
        <v>37</v>
      </c>
      <c r="Q24" s="38">
        <f>Drivers!Q15</f>
        <v>29</v>
      </c>
      <c r="R24" s="38">
        <f>Drivers!R15</f>
        <v>27</v>
      </c>
      <c r="S24" s="38">
        <f>Drivers!S15</f>
        <v>44</v>
      </c>
      <c r="T24" s="38">
        <f>Drivers!T15</f>
        <v>32</v>
      </c>
      <c r="U24" s="38">
        <f>Drivers!U15</f>
        <v>36</v>
      </c>
      <c r="V24" s="38">
        <f>Drivers!V15</f>
        <v>75</v>
      </c>
      <c r="W24" s="38">
        <f>Drivers!W15</f>
        <v>0</v>
      </c>
      <c r="X24" s="38">
        <f>Drivers!X15</f>
        <v>0</v>
      </c>
      <c r="Y24" s="38">
        <f>Drivers!Y15</f>
        <v>0</v>
      </c>
      <c r="Z24" s="38">
        <f>Drivers!Z15</f>
        <v>0</v>
      </c>
      <c r="AA24" s="38">
        <f>Drivers!AA15</f>
        <v>0</v>
      </c>
      <c r="AB24" s="38">
        <f>Drivers!AB15</f>
        <v>0</v>
      </c>
      <c r="AC24" s="38">
        <f>Drivers!AC15</f>
        <v>0</v>
      </c>
      <c r="AD24" s="38">
        <f>Drivers!AD15</f>
        <v>0</v>
      </c>
      <c r="AE24" s="38">
        <f>Drivers!AE15</f>
        <v>0</v>
      </c>
      <c r="AF24" s="38">
        <f>Drivers!AF15</f>
        <v>0</v>
      </c>
      <c r="AG24" s="38">
        <f>Drivers!AG15</f>
        <v>0</v>
      </c>
      <c r="AH24" s="38">
        <f>Drivers!AH15</f>
        <v>0</v>
      </c>
      <c r="AI24" s="38">
        <f>Drivers!AI15</f>
        <v>0</v>
      </c>
      <c r="AJ24" s="38">
        <f>Drivers!AJ15</f>
        <v>0</v>
      </c>
      <c r="AK24" s="38">
        <f>Drivers!AK15</f>
        <v>0</v>
      </c>
      <c r="AL24" s="38">
        <f>Drivers!AL15</f>
        <v>0</v>
      </c>
      <c r="AM24" s="111">
        <f>SUM(C26:AL26)</f>
        <v>1143</v>
      </c>
      <c r="AN24" s="109">
        <f>RANK($AM$6:$AM$35,$AM$6:$AM$35,1&gt;10)</f>
        <v>4</v>
      </c>
      <c r="AO24" s="101">
        <f t="shared" ref="AO24" si="11">AVERAGE(C26:AL26)</f>
        <v>31.75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3" x14ac:dyDescent="0.3">
      <c r="A25" s="127"/>
      <c r="B25" s="78" t="str">
        <f>Drivers!AR23</f>
        <v>Van Gisbergen</v>
      </c>
      <c r="C25" s="26">
        <f>Drivers!C4</f>
        <v>17</v>
      </c>
      <c r="D25" s="26">
        <f>Drivers!D4</f>
        <v>34</v>
      </c>
      <c r="E25" s="26">
        <f>Drivers!E4</f>
        <v>13</v>
      </c>
      <c r="F25" s="26">
        <f>Drivers!F4</f>
        <v>10</v>
      </c>
      <c r="G25" s="26">
        <f>Drivers!G4</f>
        <v>20</v>
      </c>
      <c r="H25" s="26">
        <f>Drivers!H9</f>
        <v>55</v>
      </c>
      <c r="I25" s="26">
        <f>Drivers!I9</f>
        <v>24</v>
      </c>
      <c r="J25" s="26">
        <f>Drivers!J9</f>
        <v>23</v>
      </c>
      <c r="K25" s="26">
        <f>Drivers!K9</f>
        <v>35</v>
      </c>
      <c r="L25" s="26">
        <f>Drivers!L9</f>
        <v>15</v>
      </c>
      <c r="M25" s="26">
        <f>Drivers!M9</f>
        <v>32</v>
      </c>
      <c r="N25" s="26">
        <f>Drivers!N9</f>
        <v>7</v>
      </c>
      <c r="O25" s="26">
        <f>Drivers!O9</f>
        <v>25</v>
      </c>
      <c r="P25" s="26">
        <f>Drivers!P9</f>
        <v>4</v>
      </c>
      <c r="Q25" s="26">
        <f>Drivers!Q9</f>
        <v>3</v>
      </c>
      <c r="R25" s="26">
        <f>Drivers!R9</f>
        <v>1</v>
      </c>
      <c r="S25" s="26">
        <f>Drivers!S46</f>
        <v>1</v>
      </c>
      <c r="T25" s="26">
        <f>Drivers!T46</f>
        <v>63</v>
      </c>
      <c r="U25" s="26">
        <f>Drivers!U46</f>
        <v>12</v>
      </c>
      <c r="V25" s="26">
        <f>Drivers!V46</f>
        <v>32</v>
      </c>
      <c r="W25" s="26">
        <f>Drivers!W46</f>
        <v>0</v>
      </c>
      <c r="X25" s="26">
        <f>Drivers!X46</f>
        <v>0</v>
      </c>
      <c r="Y25" s="26">
        <f>Drivers!Y46</f>
        <v>0</v>
      </c>
      <c r="Z25" s="26">
        <f>Drivers!Z46</f>
        <v>0</v>
      </c>
      <c r="AA25" s="26">
        <f>Drivers!AA46</f>
        <v>0</v>
      </c>
      <c r="AB25" s="26">
        <f>Drivers!AB46</f>
        <v>0</v>
      </c>
      <c r="AC25" s="26">
        <f>Drivers!AC46</f>
        <v>0</v>
      </c>
      <c r="AD25" s="26">
        <f>Drivers!AD46</f>
        <v>0</v>
      </c>
      <c r="AE25" s="26">
        <f>Drivers!AE46</f>
        <v>0</v>
      </c>
      <c r="AF25" s="26">
        <f>Drivers!AF46</f>
        <v>0</v>
      </c>
      <c r="AG25" s="26">
        <f>Drivers!AG46</f>
        <v>0</v>
      </c>
      <c r="AH25" s="26">
        <f>Drivers!AH46</f>
        <v>0</v>
      </c>
      <c r="AI25" s="26">
        <f>Drivers!AI46</f>
        <v>0</v>
      </c>
      <c r="AJ25" s="26">
        <f>Drivers!AJ46</f>
        <v>0</v>
      </c>
      <c r="AK25" s="26">
        <f>Drivers!AK46</f>
        <v>0</v>
      </c>
      <c r="AL25" s="26">
        <f>Drivers!AL46</f>
        <v>0</v>
      </c>
      <c r="AM25" s="112"/>
      <c r="AN25" s="105"/>
      <c r="AO25" s="102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35">
      <c r="A26" s="129"/>
      <c r="B26" s="52"/>
      <c r="C26" s="44">
        <f>SUM(C24+C25)</f>
        <v>44</v>
      </c>
      <c r="D26" s="44">
        <f t="shared" ref="D26:AL26" si="12">SUM(D24+D25)</f>
        <v>65</v>
      </c>
      <c r="E26" s="44">
        <f t="shared" si="12"/>
        <v>46</v>
      </c>
      <c r="F26" s="44">
        <f t="shared" si="12"/>
        <v>75</v>
      </c>
      <c r="G26" s="44">
        <f t="shared" si="12"/>
        <v>43</v>
      </c>
      <c r="H26" s="44">
        <f t="shared" si="12"/>
        <v>97</v>
      </c>
      <c r="I26" s="44">
        <f t="shared" si="12"/>
        <v>65</v>
      </c>
      <c r="J26" s="44">
        <f t="shared" si="12"/>
        <v>76</v>
      </c>
      <c r="K26" s="44">
        <f t="shared" si="12"/>
        <v>48</v>
      </c>
      <c r="L26" s="45">
        <f t="shared" si="12"/>
        <v>22</v>
      </c>
      <c r="M26" s="44">
        <f t="shared" si="12"/>
        <v>59</v>
      </c>
      <c r="N26" s="44">
        <f t="shared" si="12"/>
        <v>41</v>
      </c>
      <c r="O26" s="44">
        <f t="shared" si="12"/>
        <v>66</v>
      </c>
      <c r="P26" s="44">
        <f t="shared" si="12"/>
        <v>41</v>
      </c>
      <c r="Q26" s="44">
        <f t="shared" si="12"/>
        <v>32</v>
      </c>
      <c r="R26" s="44">
        <f t="shared" si="12"/>
        <v>28</v>
      </c>
      <c r="S26" s="44">
        <f t="shared" si="12"/>
        <v>45</v>
      </c>
      <c r="T26" s="44">
        <f t="shared" si="12"/>
        <v>95</v>
      </c>
      <c r="U26" s="44">
        <f t="shared" si="12"/>
        <v>48</v>
      </c>
      <c r="V26" s="44">
        <f t="shared" si="12"/>
        <v>107</v>
      </c>
      <c r="W26" s="44">
        <f t="shared" si="12"/>
        <v>0</v>
      </c>
      <c r="X26" s="44">
        <f t="shared" si="12"/>
        <v>0</v>
      </c>
      <c r="Y26" s="44">
        <f t="shared" si="12"/>
        <v>0</v>
      </c>
      <c r="Z26" s="44">
        <f t="shared" si="12"/>
        <v>0</v>
      </c>
      <c r="AA26" s="44">
        <f t="shared" si="12"/>
        <v>0</v>
      </c>
      <c r="AB26" s="44">
        <f t="shared" si="12"/>
        <v>0</v>
      </c>
      <c r="AC26" s="45">
        <f t="shared" si="12"/>
        <v>0</v>
      </c>
      <c r="AD26" s="44">
        <f t="shared" si="12"/>
        <v>0</v>
      </c>
      <c r="AE26" s="44">
        <f t="shared" si="12"/>
        <v>0</v>
      </c>
      <c r="AF26" s="44">
        <f t="shared" si="12"/>
        <v>0</v>
      </c>
      <c r="AG26" s="44">
        <f t="shared" si="12"/>
        <v>0</v>
      </c>
      <c r="AH26" s="44">
        <f t="shared" si="12"/>
        <v>0</v>
      </c>
      <c r="AI26" s="44">
        <f t="shared" si="12"/>
        <v>0</v>
      </c>
      <c r="AJ26" s="44">
        <f t="shared" si="12"/>
        <v>0</v>
      </c>
      <c r="AK26" s="44">
        <f t="shared" si="12"/>
        <v>0</v>
      </c>
      <c r="AL26" s="46">
        <f t="shared" si="12"/>
        <v>0</v>
      </c>
      <c r="AM26" s="112"/>
      <c r="AN26" s="105"/>
      <c r="AO26" s="10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3">
      <c r="A27" s="128" t="str">
        <f>Drivers!AQ25</f>
        <v>Rob</v>
      </c>
      <c r="B27" s="53" t="str">
        <f>Drivers!AR25</f>
        <v>Elliott</v>
      </c>
      <c r="C27" s="38">
        <f>Drivers!C12</f>
        <v>33</v>
      </c>
      <c r="D27" s="38">
        <f>Drivers!D12</f>
        <v>38</v>
      </c>
      <c r="E27" s="38">
        <f>Drivers!E12</f>
        <v>33</v>
      </c>
      <c r="F27" s="38">
        <f>Drivers!F12</f>
        <v>14</v>
      </c>
      <c r="G27" s="38">
        <f>Drivers!G12</f>
        <v>40</v>
      </c>
      <c r="H27" s="38">
        <f>Drivers!H12</f>
        <v>26</v>
      </c>
      <c r="I27" s="38">
        <f>Drivers!I12</f>
        <v>55</v>
      </c>
      <c r="J27" s="38">
        <f>Drivers!J12</f>
        <v>15</v>
      </c>
      <c r="K27" s="38">
        <f>Drivers!K12</f>
        <v>41</v>
      </c>
      <c r="L27" s="38">
        <f>Drivers!L12</f>
        <v>35</v>
      </c>
      <c r="M27" s="38">
        <f>Drivers!M12</f>
        <v>69</v>
      </c>
      <c r="N27" s="38">
        <f>Drivers!N12</f>
        <v>13</v>
      </c>
      <c r="O27" s="38">
        <f>Drivers!O12</f>
        <v>1</v>
      </c>
      <c r="P27" s="38">
        <f>Drivers!P12</f>
        <v>37</v>
      </c>
      <c r="Q27" s="38">
        <f>Drivers!Q12</f>
        <v>22</v>
      </c>
      <c r="R27" s="38">
        <f>Drivers!R12</f>
        <v>27</v>
      </c>
      <c r="S27" s="38">
        <f>Drivers!S12</f>
        <v>25</v>
      </c>
      <c r="T27" s="38">
        <f>Drivers!T12</f>
        <v>20</v>
      </c>
      <c r="U27" s="38">
        <f>Drivers!U12</f>
        <v>30</v>
      </c>
      <c r="V27" s="38">
        <f>Drivers!V12</f>
        <v>26</v>
      </c>
      <c r="W27" s="38">
        <f>Drivers!W12</f>
        <v>0</v>
      </c>
      <c r="X27" s="38">
        <f>Drivers!X12</f>
        <v>0</v>
      </c>
      <c r="Y27" s="38">
        <f>Drivers!Y12</f>
        <v>0</v>
      </c>
      <c r="Z27" s="38">
        <f>Drivers!Z12</f>
        <v>0</v>
      </c>
      <c r="AA27" s="38">
        <f>Drivers!AA12</f>
        <v>0</v>
      </c>
      <c r="AB27" s="38">
        <f>Drivers!AB12</f>
        <v>0</v>
      </c>
      <c r="AC27" s="38">
        <f>Drivers!AC12</f>
        <v>0</v>
      </c>
      <c r="AD27" s="38">
        <f>Drivers!AD12</f>
        <v>0</v>
      </c>
      <c r="AE27" s="38">
        <f>Drivers!AE12</f>
        <v>0</v>
      </c>
      <c r="AF27" s="38">
        <f>Drivers!AF12</f>
        <v>0</v>
      </c>
      <c r="AG27" s="38">
        <f>Drivers!AG12</f>
        <v>0</v>
      </c>
      <c r="AH27" s="38">
        <f>Drivers!AH12</f>
        <v>0</v>
      </c>
      <c r="AI27" s="38">
        <f>Drivers!AI12</f>
        <v>0</v>
      </c>
      <c r="AJ27" s="38">
        <f>Drivers!AJ12</f>
        <v>0</v>
      </c>
      <c r="AK27" s="38">
        <f>Drivers!AK12</f>
        <v>0</v>
      </c>
      <c r="AL27" s="38">
        <f>Drivers!AL12</f>
        <v>0</v>
      </c>
      <c r="AM27" s="113">
        <f>SUM(C29:AL29)</f>
        <v>1367</v>
      </c>
      <c r="AN27" s="107">
        <f>RANK($AM$6:$AM$35,$AM$6:$AM$35,1&gt;10)</f>
        <v>1</v>
      </c>
      <c r="AO27" s="101">
        <f t="shared" ref="AO27" si="13">AVERAGE(C29:AL29)</f>
        <v>37.972222222222221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3" x14ac:dyDescent="0.3">
      <c r="A28" s="127"/>
      <c r="B28" s="49" t="str">
        <f>Drivers!AR26</f>
        <v>Reddick</v>
      </c>
      <c r="C28" s="26">
        <f>Drivers!C34</f>
        <v>58</v>
      </c>
      <c r="D28" s="26">
        <f>Drivers!D34</f>
        <v>67</v>
      </c>
      <c r="E28" s="26">
        <f>Drivers!E34</f>
        <v>61</v>
      </c>
      <c r="F28" s="26">
        <f>Drivers!F34</f>
        <v>39</v>
      </c>
      <c r="G28" s="26">
        <f>Drivers!G34</f>
        <v>30</v>
      </c>
      <c r="H28" s="26">
        <f>Drivers!H34</f>
        <v>70</v>
      </c>
      <c r="I28" s="26">
        <f>Drivers!I34</f>
        <v>28</v>
      </c>
      <c r="J28" s="26">
        <f>Drivers!J34</f>
        <v>33</v>
      </c>
      <c r="K28" s="26">
        <f>Drivers!K34</f>
        <v>71</v>
      </c>
      <c r="L28" s="26">
        <f>Drivers!L34</f>
        <v>27</v>
      </c>
      <c r="M28" s="26">
        <f>Drivers!M34</f>
        <v>42</v>
      </c>
      <c r="N28" s="26">
        <f>Drivers!N34</f>
        <v>41</v>
      </c>
      <c r="O28" s="26">
        <f>Drivers!O34</f>
        <v>53</v>
      </c>
      <c r="P28" s="26">
        <f>Drivers!P34</f>
        <v>37</v>
      </c>
      <c r="Q28" s="26">
        <f>Drivers!Q34</f>
        <v>12</v>
      </c>
      <c r="R28" s="26">
        <f>Drivers!R34</f>
        <v>35</v>
      </c>
      <c r="S28" s="26">
        <f>Drivers!S34</f>
        <v>12</v>
      </c>
      <c r="T28" s="26">
        <f>Drivers!T34</f>
        <v>2</v>
      </c>
      <c r="U28" s="26">
        <f>Drivers!U34</f>
        <v>2</v>
      </c>
      <c r="V28" s="26">
        <f>Drivers!V34</f>
        <v>47</v>
      </c>
      <c r="W28" s="26">
        <f>Drivers!W34</f>
        <v>0</v>
      </c>
      <c r="X28" s="26">
        <f>Drivers!X34</f>
        <v>0</v>
      </c>
      <c r="Y28" s="26">
        <f>Drivers!Y34</f>
        <v>0</v>
      </c>
      <c r="Z28" s="26">
        <f>Drivers!Z34</f>
        <v>0</v>
      </c>
      <c r="AA28" s="26">
        <f>Drivers!AA34</f>
        <v>0</v>
      </c>
      <c r="AB28" s="26">
        <f>Drivers!AB34</f>
        <v>0</v>
      </c>
      <c r="AC28" s="26">
        <f>Drivers!AC34</f>
        <v>0</v>
      </c>
      <c r="AD28" s="26">
        <f>Drivers!AD34</f>
        <v>0</v>
      </c>
      <c r="AE28" s="26">
        <f>Drivers!AE34</f>
        <v>0</v>
      </c>
      <c r="AF28" s="26">
        <f>Drivers!AF34</f>
        <v>0</v>
      </c>
      <c r="AG28" s="26">
        <f>Drivers!AG34</f>
        <v>0</v>
      </c>
      <c r="AH28" s="26">
        <f>Drivers!AH34</f>
        <v>0</v>
      </c>
      <c r="AI28" s="26">
        <f>Drivers!AI34</f>
        <v>0</v>
      </c>
      <c r="AJ28" s="26">
        <f>Drivers!AJ34</f>
        <v>0</v>
      </c>
      <c r="AK28" s="26">
        <f>Drivers!AK34</f>
        <v>0</v>
      </c>
      <c r="AL28" s="26">
        <f>Drivers!AL34</f>
        <v>0</v>
      </c>
      <c r="AM28" s="112"/>
      <c r="AN28" s="105"/>
      <c r="AO28" s="102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35">
      <c r="A29" s="129"/>
      <c r="B29" s="52"/>
      <c r="C29" s="44">
        <f>SUM(C27+C28)</f>
        <v>91</v>
      </c>
      <c r="D29" s="44">
        <f t="shared" ref="D29:AL29" si="14">SUM(D27+D28)</f>
        <v>105</v>
      </c>
      <c r="E29" s="44">
        <f t="shared" si="14"/>
        <v>94</v>
      </c>
      <c r="F29" s="44">
        <f t="shared" si="14"/>
        <v>53</v>
      </c>
      <c r="G29" s="44">
        <f t="shared" si="14"/>
        <v>70</v>
      </c>
      <c r="H29" s="44">
        <f t="shared" si="14"/>
        <v>96</v>
      </c>
      <c r="I29" s="44">
        <f t="shared" si="14"/>
        <v>83</v>
      </c>
      <c r="J29" s="44">
        <f t="shared" si="14"/>
        <v>48</v>
      </c>
      <c r="K29" s="44">
        <f t="shared" si="14"/>
        <v>112</v>
      </c>
      <c r="L29" s="45">
        <f t="shared" si="14"/>
        <v>62</v>
      </c>
      <c r="M29" s="44">
        <f t="shared" si="14"/>
        <v>111</v>
      </c>
      <c r="N29" s="44">
        <f t="shared" si="14"/>
        <v>54</v>
      </c>
      <c r="O29" s="44">
        <f t="shared" si="14"/>
        <v>54</v>
      </c>
      <c r="P29" s="44">
        <f t="shared" si="14"/>
        <v>74</v>
      </c>
      <c r="Q29" s="44">
        <f t="shared" si="14"/>
        <v>34</v>
      </c>
      <c r="R29" s="44">
        <f t="shared" si="14"/>
        <v>62</v>
      </c>
      <c r="S29" s="44">
        <f t="shared" si="14"/>
        <v>37</v>
      </c>
      <c r="T29" s="44">
        <f t="shared" si="14"/>
        <v>22</v>
      </c>
      <c r="U29" s="44">
        <f t="shared" si="14"/>
        <v>32</v>
      </c>
      <c r="V29" s="44">
        <f t="shared" si="14"/>
        <v>73</v>
      </c>
      <c r="W29" s="44">
        <f t="shared" si="14"/>
        <v>0</v>
      </c>
      <c r="X29" s="44">
        <f t="shared" si="14"/>
        <v>0</v>
      </c>
      <c r="Y29" s="44">
        <f t="shared" si="14"/>
        <v>0</v>
      </c>
      <c r="Z29" s="44">
        <f t="shared" si="14"/>
        <v>0</v>
      </c>
      <c r="AA29" s="44">
        <f t="shared" si="14"/>
        <v>0</v>
      </c>
      <c r="AB29" s="44">
        <f t="shared" si="14"/>
        <v>0</v>
      </c>
      <c r="AC29" s="45">
        <f t="shared" si="14"/>
        <v>0</v>
      </c>
      <c r="AD29" s="44">
        <f t="shared" si="14"/>
        <v>0</v>
      </c>
      <c r="AE29" s="44">
        <f t="shared" si="14"/>
        <v>0</v>
      </c>
      <c r="AF29" s="44">
        <f t="shared" si="14"/>
        <v>0</v>
      </c>
      <c r="AG29" s="44">
        <f t="shared" si="14"/>
        <v>0</v>
      </c>
      <c r="AH29" s="44">
        <f t="shared" si="14"/>
        <v>0</v>
      </c>
      <c r="AI29" s="44">
        <f t="shared" si="14"/>
        <v>0</v>
      </c>
      <c r="AJ29" s="44">
        <f t="shared" si="14"/>
        <v>0</v>
      </c>
      <c r="AK29" s="44">
        <f t="shared" si="14"/>
        <v>0</v>
      </c>
      <c r="AL29" s="46">
        <f t="shared" si="14"/>
        <v>0</v>
      </c>
      <c r="AM29" s="112"/>
      <c r="AN29" s="108"/>
      <c r="AO29" s="10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3">
      <c r="A30" s="126">
        <f>Drivers!AQ28</f>
        <v>9</v>
      </c>
      <c r="B30" s="50" t="str">
        <f>Drivers!AR28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13">
        <f>SUM(C32:AL32)</f>
        <v>0</v>
      </c>
      <c r="AN30" s="107">
        <f>RANK($AM$6:$AM$35,$AM$6:$AM$35,1&gt;10)</f>
        <v>9</v>
      </c>
      <c r="AO30" s="101">
        <f t="shared" ref="AO30" si="15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3" x14ac:dyDescent="0.3">
      <c r="A31" s="127"/>
      <c r="B31" s="49" t="str">
        <f>Drivers!AR29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12"/>
      <c r="AN31" s="105"/>
      <c r="AO31" s="102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3" x14ac:dyDescent="0.3">
      <c r="A32" s="127"/>
      <c r="B32" s="52"/>
      <c r="C32" s="44">
        <f>SUM(C30+C31)</f>
        <v>0</v>
      </c>
      <c r="D32" s="44">
        <f t="shared" ref="D32:AL32" si="16">SUM(D30+D31)</f>
        <v>0</v>
      </c>
      <c r="E32" s="44">
        <f t="shared" si="16"/>
        <v>0</v>
      </c>
      <c r="F32" s="44">
        <f t="shared" si="16"/>
        <v>0</v>
      </c>
      <c r="G32" s="44">
        <f t="shared" si="16"/>
        <v>0</v>
      </c>
      <c r="H32" s="44">
        <f t="shared" si="16"/>
        <v>0</v>
      </c>
      <c r="I32" s="44">
        <f t="shared" si="16"/>
        <v>0</v>
      </c>
      <c r="J32" s="44">
        <f t="shared" si="16"/>
        <v>0</v>
      </c>
      <c r="K32" s="44">
        <f t="shared" si="16"/>
        <v>0</v>
      </c>
      <c r="L32" s="45">
        <f t="shared" si="16"/>
        <v>0</v>
      </c>
      <c r="M32" s="44">
        <f t="shared" si="16"/>
        <v>0</v>
      </c>
      <c r="N32" s="44">
        <f t="shared" si="16"/>
        <v>0</v>
      </c>
      <c r="O32" s="44">
        <f t="shared" si="16"/>
        <v>0</v>
      </c>
      <c r="P32" s="44">
        <f t="shared" si="16"/>
        <v>0</v>
      </c>
      <c r="Q32" s="44">
        <f t="shared" si="16"/>
        <v>0</v>
      </c>
      <c r="R32" s="44">
        <f t="shared" si="16"/>
        <v>0</v>
      </c>
      <c r="S32" s="44">
        <f t="shared" si="16"/>
        <v>0</v>
      </c>
      <c r="T32" s="44">
        <f t="shared" si="16"/>
        <v>0</v>
      </c>
      <c r="U32" s="44">
        <f t="shared" si="16"/>
        <v>0</v>
      </c>
      <c r="V32" s="44">
        <f t="shared" si="16"/>
        <v>0</v>
      </c>
      <c r="W32" s="44">
        <f t="shared" si="16"/>
        <v>0</v>
      </c>
      <c r="X32" s="44">
        <f t="shared" si="16"/>
        <v>0</v>
      </c>
      <c r="Y32" s="44">
        <f t="shared" si="16"/>
        <v>0</v>
      </c>
      <c r="Z32" s="44">
        <f t="shared" si="16"/>
        <v>0</v>
      </c>
      <c r="AA32" s="44">
        <f t="shared" si="16"/>
        <v>0</v>
      </c>
      <c r="AB32" s="44">
        <f t="shared" si="16"/>
        <v>0</v>
      </c>
      <c r="AC32" s="45">
        <f t="shared" si="16"/>
        <v>0</v>
      </c>
      <c r="AD32" s="44">
        <f t="shared" si="16"/>
        <v>0</v>
      </c>
      <c r="AE32" s="44">
        <f t="shared" si="16"/>
        <v>0</v>
      </c>
      <c r="AF32" s="44">
        <f t="shared" si="16"/>
        <v>0</v>
      </c>
      <c r="AG32" s="44">
        <f t="shared" si="16"/>
        <v>0</v>
      </c>
      <c r="AH32" s="44">
        <f t="shared" si="16"/>
        <v>0</v>
      </c>
      <c r="AI32" s="44">
        <f t="shared" si="16"/>
        <v>0</v>
      </c>
      <c r="AJ32" s="44">
        <f t="shared" si="16"/>
        <v>0</v>
      </c>
      <c r="AK32" s="44">
        <f t="shared" si="16"/>
        <v>0</v>
      </c>
      <c r="AL32" s="46">
        <f t="shared" si="16"/>
        <v>0</v>
      </c>
      <c r="AM32" s="114"/>
      <c r="AN32" s="108"/>
      <c r="AO32" s="10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3">
      <c r="A33" s="128">
        <f>Drivers!AQ31</f>
        <v>10</v>
      </c>
      <c r="B33" s="49" t="str">
        <f>Drivers!AR31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11">
        <f>SUM(C35:AL35)</f>
        <v>0</v>
      </c>
      <c r="AN33" s="107">
        <f>RANK($AM$6:$AM$35,$AM$6:$AM$35,1&gt;10)</f>
        <v>9</v>
      </c>
      <c r="AO33" s="104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3" x14ac:dyDescent="0.3">
      <c r="A34" s="127"/>
      <c r="B34" s="49" t="str">
        <f>Drivers!AR32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12"/>
      <c r="AN34" s="105"/>
      <c r="AO34" s="105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35">
      <c r="A35" s="129"/>
      <c r="B35" s="54"/>
      <c r="C35" s="35">
        <f>SUM(C33+C34)</f>
        <v>0</v>
      </c>
      <c r="D35" s="35">
        <f t="shared" ref="D35:AL35" si="17">SUM(D33+D34)</f>
        <v>0</v>
      </c>
      <c r="E35" s="35">
        <f t="shared" si="17"/>
        <v>0</v>
      </c>
      <c r="F35" s="35">
        <f t="shared" si="17"/>
        <v>0</v>
      </c>
      <c r="G35" s="35">
        <f t="shared" si="17"/>
        <v>0</v>
      </c>
      <c r="H35" s="35">
        <f t="shared" si="17"/>
        <v>0</v>
      </c>
      <c r="I35" s="35">
        <f t="shared" si="17"/>
        <v>0</v>
      </c>
      <c r="J35" s="35">
        <f t="shared" si="17"/>
        <v>0</v>
      </c>
      <c r="K35" s="35">
        <f t="shared" si="17"/>
        <v>0</v>
      </c>
      <c r="L35" s="36">
        <f t="shared" si="17"/>
        <v>0</v>
      </c>
      <c r="M35" s="35">
        <f t="shared" si="17"/>
        <v>0</v>
      </c>
      <c r="N35" s="35">
        <f t="shared" si="17"/>
        <v>0</v>
      </c>
      <c r="O35" s="35">
        <f t="shared" si="17"/>
        <v>0</v>
      </c>
      <c r="P35" s="35">
        <f t="shared" si="17"/>
        <v>0</v>
      </c>
      <c r="Q35" s="35">
        <f t="shared" si="17"/>
        <v>0</v>
      </c>
      <c r="R35" s="35">
        <f t="shared" si="17"/>
        <v>0</v>
      </c>
      <c r="S35" s="35">
        <f t="shared" si="17"/>
        <v>0</v>
      </c>
      <c r="T35" s="35">
        <f t="shared" si="17"/>
        <v>0</v>
      </c>
      <c r="U35" s="35">
        <f t="shared" si="17"/>
        <v>0</v>
      </c>
      <c r="V35" s="35">
        <f t="shared" si="17"/>
        <v>0</v>
      </c>
      <c r="W35" s="35">
        <f t="shared" si="17"/>
        <v>0</v>
      </c>
      <c r="X35" s="35">
        <f t="shared" si="17"/>
        <v>0</v>
      </c>
      <c r="Y35" s="35">
        <f t="shared" si="17"/>
        <v>0</v>
      </c>
      <c r="Z35" s="35">
        <f t="shared" si="17"/>
        <v>0</v>
      </c>
      <c r="AA35" s="35">
        <f t="shared" si="17"/>
        <v>0</v>
      </c>
      <c r="AB35" s="35">
        <f t="shared" si="17"/>
        <v>0</v>
      </c>
      <c r="AC35" s="36">
        <f t="shared" si="17"/>
        <v>0</v>
      </c>
      <c r="AD35" s="35">
        <f t="shared" si="17"/>
        <v>0</v>
      </c>
      <c r="AE35" s="35">
        <f t="shared" si="17"/>
        <v>0</v>
      </c>
      <c r="AF35" s="35">
        <f t="shared" si="17"/>
        <v>0</v>
      </c>
      <c r="AG35" s="35">
        <f t="shared" si="17"/>
        <v>0</v>
      </c>
      <c r="AH35" s="35">
        <f t="shared" si="17"/>
        <v>0</v>
      </c>
      <c r="AI35" s="35">
        <f t="shared" si="17"/>
        <v>0</v>
      </c>
      <c r="AJ35" s="35">
        <f t="shared" si="17"/>
        <v>0</v>
      </c>
      <c r="AK35" s="35">
        <f t="shared" si="17"/>
        <v>0</v>
      </c>
      <c r="AL35" s="37">
        <f t="shared" si="17"/>
        <v>0</v>
      </c>
      <c r="AM35" s="117"/>
      <c r="AN35" s="106"/>
      <c r="AO35" s="106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3" x14ac:dyDescent="0.3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3" x14ac:dyDescent="0.3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3" x14ac:dyDescent="0.3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3" x14ac:dyDescent="0.3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3" x14ac:dyDescent="0.3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3" x14ac:dyDescent="0.3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3" x14ac:dyDescent="0.3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3" x14ac:dyDescent="0.3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3" x14ac:dyDescent="0.3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3" x14ac:dyDescent="0.3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3" x14ac:dyDescent="0.3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3" x14ac:dyDescent="0.3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3" x14ac:dyDescent="0.3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3" x14ac:dyDescent="0.3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3" x14ac:dyDescent="0.3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3" x14ac:dyDescent="0.3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3" x14ac:dyDescent="0.3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3" x14ac:dyDescent="0.3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3" x14ac:dyDescent="0.3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3" x14ac:dyDescent="0.3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3" x14ac:dyDescent="0.3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3" x14ac:dyDescent="0.3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3" x14ac:dyDescent="0.3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3" x14ac:dyDescent="0.3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3" x14ac:dyDescent="0.3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3" x14ac:dyDescent="0.3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3" x14ac:dyDescent="0.3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3" x14ac:dyDescent="0.3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3" x14ac:dyDescent="0.3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3" x14ac:dyDescent="0.3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3" x14ac:dyDescent="0.3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3" x14ac:dyDescent="0.3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3" x14ac:dyDescent="0.3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3" x14ac:dyDescent="0.3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3" x14ac:dyDescent="0.3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3" x14ac:dyDescent="0.3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3" x14ac:dyDescent="0.3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3" x14ac:dyDescent="0.3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3" x14ac:dyDescent="0.3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3" x14ac:dyDescent="0.3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3" x14ac:dyDescent="0.3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3" x14ac:dyDescent="0.3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3" x14ac:dyDescent="0.3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3" x14ac:dyDescent="0.3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3" x14ac:dyDescent="0.3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3" x14ac:dyDescent="0.3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3" x14ac:dyDescent="0.3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3" x14ac:dyDescent="0.3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3" x14ac:dyDescent="0.3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3" x14ac:dyDescent="0.3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3" x14ac:dyDescent="0.3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3" x14ac:dyDescent="0.3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3" x14ac:dyDescent="0.3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3" x14ac:dyDescent="0.3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3" x14ac:dyDescent="0.3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3" x14ac:dyDescent="0.3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3" x14ac:dyDescent="0.3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3" x14ac:dyDescent="0.3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3" x14ac:dyDescent="0.3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3" x14ac:dyDescent="0.3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3" x14ac:dyDescent="0.3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3" x14ac:dyDescent="0.3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3" x14ac:dyDescent="0.3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3" x14ac:dyDescent="0.3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3" x14ac:dyDescent="0.3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3" x14ac:dyDescent="0.3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3" x14ac:dyDescent="0.3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3" x14ac:dyDescent="0.3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3" x14ac:dyDescent="0.3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3" x14ac:dyDescent="0.3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3" x14ac:dyDescent="0.3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3" x14ac:dyDescent="0.3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3" x14ac:dyDescent="0.3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3" x14ac:dyDescent="0.3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3" x14ac:dyDescent="0.3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3" x14ac:dyDescent="0.3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3" x14ac:dyDescent="0.3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3" x14ac:dyDescent="0.3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3" x14ac:dyDescent="0.3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3" x14ac:dyDescent="0.3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5">
      <c r="J116" s="4"/>
      <c r="K116" s="4"/>
      <c r="L116" s="4"/>
    </row>
    <row r="117" spans="1:56" s="1" customFormat="1" ht="13" x14ac:dyDescent="0.3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3" x14ac:dyDescent="0.3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5">
      <c r="A119" s="24"/>
      <c r="B119" s="22"/>
      <c r="J119" s="4"/>
      <c r="K119" s="4"/>
      <c r="L119" s="4"/>
    </row>
    <row r="120" spans="1:56" x14ac:dyDescent="0.25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5">
      <c r="A121" s="21"/>
      <c r="C121" s="115"/>
      <c r="D121" s="116"/>
      <c r="E121" s="116"/>
      <c r="F121" s="116"/>
      <c r="G121" s="116"/>
      <c r="H121" s="116"/>
      <c r="I121" s="116"/>
      <c r="J121" s="116"/>
      <c r="K121" s="116"/>
      <c r="L121" s="116"/>
    </row>
    <row r="122" spans="1:56" x14ac:dyDescent="0.25"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</row>
    <row r="123" spans="1:56" x14ac:dyDescent="0.25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5">
      <c r="A124" s="21"/>
      <c r="C124" s="15"/>
      <c r="G124" s="15"/>
      <c r="H124" s="15"/>
    </row>
    <row r="125" spans="1:56" x14ac:dyDescent="0.25">
      <c r="A125" s="21"/>
      <c r="C125" s="15"/>
      <c r="G125" s="5"/>
    </row>
    <row r="126" spans="1:56" x14ac:dyDescent="0.25">
      <c r="C126" s="5"/>
      <c r="G126" s="5"/>
    </row>
    <row r="127" spans="1:56" x14ac:dyDescent="0.25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5">
      <c r="J128" s="4"/>
      <c r="K128" s="4"/>
      <c r="L128" s="4"/>
    </row>
    <row r="129" spans="3:10" x14ac:dyDescent="0.25">
      <c r="C129" s="5"/>
      <c r="G129" s="5"/>
    </row>
    <row r="130" spans="3:10" x14ac:dyDescent="0.25">
      <c r="C130" s="5"/>
      <c r="E130" s="15"/>
      <c r="G130" s="5"/>
      <c r="J130" s="15"/>
    </row>
    <row r="131" spans="3:10" x14ac:dyDescent="0.25">
      <c r="C131" s="5"/>
      <c r="E131" s="5"/>
      <c r="G131" s="5"/>
    </row>
    <row r="132" spans="3:10" x14ac:dyDescent="0.25">
      <c r="C132" s="5"/>
      <c r="E132" s="5"/>
      <c r="G132" s="5"/>
    </row>
    <row r="133" spans="3:10" x14ac:dyDescent="0.25">
      <c r="C133" s="15"/>
      <c r="E133" s="5"/>
      <c r="G133" s="5"/>
    </row>
    <row r="134" spans="3:10" x14ac:dyDescent="0.25">
      <c r="C134" s="5"/>
      <c r="E134" s="5"/>
      <c r="G134" s="5"/>
    </row>
    <row r="135" spans="3:10" x14ac:dyDescent="0.25">
      <c r="C135" s="5"/>
      <c r="E135" s="5"/>
      <c r="G135" s="5"/>
    </row>
    <row r="136" spans="3:10" x14ac:dyDescent="0.25">
      <c r="C136" s="5"/>
      <c r="E136" s="5"/>
      <c r="G136" s="5"/>
    </row>
    <row r="137" spans="3:10" x14ac:dyDescent="0.25">
      <c r="C137" s="5"/>
      <c r="G137" s="5"/>
    </row>
    <row r="138" spans="3:10" x14ac:dyDescent="0.25">
      <c r="C138" s="5"/>
      <c r="G138" s="5"/>
    </row>
    <row r="139" spans="3:10" x14ac:dyDescent="0.25">
      <c r="C139" s="5"/>
      <c r="G139" s="5"/>
    </row>
    <row r="140" spans="3:10" x14ac:dyDescent="0.25">
      <c r="C140" s="5"/>
      <c r="G140" s="5"/>
    </row>
    <row r="141" spans="3:10" x14ac:dyDescent="0.25">
      <c r="C141" s="5"/>
      <c r="G141" s="5"/>
    </row>
    <row r="142" spans="3:10" x14ac:dyDescent="0.25">
      <c r="C142" s="5"/>
      <c r="G142" s="5"/>
    </row>
    <row r="143" spans="3:10" x14ac:dyDescent="0.25">
      <c r="C143" s="5"/>
      <c r="G143" s="5"/>
    </row>
    <row r="144" spans="3:10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</sheetData>
  <mergeCells count="98">
    <mergeCell ref="N3:N5"/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Z3:Z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AL3:AL5"/>
    <mergeCell ref="AA3:AA5"/>
    <mergeCell ref="AB3:AB5"/>
    <mergeCell ref="AC3:AC5"/>
    <mergeCell ref="AD3:AD5"/>
    <mergeCell ref="AE3:AE5"/>
    <mergeCell ref="AF3:AF5"/>
    <mergeCell ref="AU3:AU5"/>
    <mergeCell ref="AV3:AV5"/>
    <mergeCell ref="AW3:AW5"/>
    <mergeCell ref="AX3:AX5"/>
    <mergeCell ref="AY3:AY5"/>
    <mergeCell ref="A6:A8"/>
    <mergeCell ref="AM6:AM8"/>
    <mergeCell ref="AN6:AN8"/>
    <mergeCell ref="AO6:AO8"/>
    <mergeCell ref="AT3:AT5"/>
    <mergeCell ref="AM3:AM5"/>
    <mergeCell ref="AN3:AN5"/>
    <mergeCell ref="AO3:AO5"/>
    <mergeCell ref="AQ3:AQ5"/>
    <mergeCell ref="AR3:AR5"/>
    <mergeCell ref="AS3:AS5"/>
    <mergeCell ref="AG3:AG5"/>
    <mergeCell ref="AH3:AH5"/>
    <mergeCell ref="AI3:AI5"/>
    <mergeCell ref="AJ3:AJ5"/>
    <mergeCell ref="AK3:AK5"/>
    <mergeCell ref="AZ3:AZ5"/>
    <mergeCell ref="BA3:BA5"/>
    <mergeCell ref="BB3:BB5"/>
    <mergeCell ref="BC3:BC5"/>
    <mergeCell ref="BD3:BD5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8941-C518-4977-9027-C693DE9A11F8}">
  <dimension ref="A1:BD148"/>
  <sheetViews>
    <sheetView zoomScale="120" zoomScaleNormal="120" workbookViewId="0">
      <pane xSplit="2" topLeftCell="D1" activePane="topRight" state="frozen"/>
      <selection pane="topRight" activeCell="R25" sqref="R25"/>
    </sheetView>
  </sheetViews>
  <sheetFormatPr defaultColWidth="9.1796875" defaultRowHeight="10.5" x14ac:dyDescent="0.25"/>
  <cols>
    <col min="1" max="1" width="5.453125" style="7" bestFit="1" customWidth="1"/>
    <col min="2" max="2" width="10.1796875" style="8" customWidth="1"/>
    <col min="3" max="9" width="3.54296875" style="4" customWidth="1"/>
    <col min="10" max="38" width="3.54296875" style="5" customWidth="1"/>
    <col min="39" max="39" width="7.54296875" style="5" bestFit="1" customWidth="1"/>
    <col min="40" max="40" width="3.54296875" style="5" customWidth="1"/>
    <col min="41" max="42" width="9.453125" style="2" customWidth="1"/>
    <col min="43" max="56" width="3.54296875" style="2" customWidth="1"/>
    <col min="57" max="16384" width="9.1796875" style="2"/>
  </cols>
  <sheetData>
    <row r="1" spans="1:56" ht="22" x14ac:dyDescent="0.25">
      <c r="A1" s="132">
        <v>2025</v>
      </c>
      <c r="B1" s="133"/>
      <c r="C1" s="146" t="s">
        <v>75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48"/>
    </row>
    <row r="2" spans="1:56" ht="22.5" thickBot="1" x14ac:dyDescent="0.3">
      <c r="A2" s="134"/>
      <c r="B2" s="134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48"/>
    </row>
    <row r="3" spans="1:56" ht="11.25" customHeight="1" x14ac:dyDescent="0.25">
      <c r="A3" s="119" t="s">
        <v>18</v>
      </c>
      <c r="B3" s="89" t="s">
        <v>17</v>
      </c>
      <c r="C3" s="93" t="s">
        <v>31</v>
      </c>
      <c r="D3" s="95" t="s">
        <v>32</v>
      </c>
      <c r="E3" s="93" t="s">
        <v>33</v>
      </c>
      <c r="F3" s="95" t="s">
        <v>34</v>
      </c>
      <c r="G3" s="93" t="s">
        <v>35</v>
      </c>
      <c r="H3" s="95" t="s">
        <v>36</v>
      </c>
      <c r="I3" s="93" t="s">
        <v>37</v>
      </c>
      <c r="J3" s="95" t="s">
        <v>38</v>
      </c>
      <c r="K3" s="93" t="s">
        <v>39</v>
      </c>
      <c r="L3" s="95" t="s">
        <v>0</v>
      </c>
      <c r="M3" s="93" t="s">
        <v>1</v>
      </c>
      <c r="N3" s="93" t="s">
        <v>2</v>
      </c>
      <c r="O3" s="93" t="s">
        <v>3</v>
      </c>
      <c r="P3" s="93" t="s">
        <v>4</v>
      </c>
      <c r="Q3" s="93" t="s">
        <v>5</v>
      </c>
      <c r="R3" s="93" t="s">
        <v>6</v>
      </c>
      <c r="S3" s="93" t="s">
        <v>7</v>
      </c>
      <c r="T3" s="93" t="s">
        <v>8</v>
      </c>
      <c r="U3" s="93" t="s">
        <v>9</v>
      </c>
      <c r="V3" s="93" t="s">
        <v>10</v>
      </c>
      <c r="W3" s="93" t="s">
        <v>11</v>
      </c>
      <c r="X3" s="93" t="s">
        <v>12</v>
      </c>
      <c r="Y3" s="93" t="s">
        <v>13</v>
      </c>
      <c r="Z3" s="93" t="s">
        <v>14</v>
      </c>
      <c r="AA3" s="93" t="s">
        <v>15</v>
      </c>
      <c r="AB3" s="93" t="s">
        <v>16</v>
      </c>
      <c r="AC3" s="95" t="s">
        <v>19</v>
      </c>
      <c r="AD3" s="93" t="s">
        <v>20</v>
      </c>
      <c r="AE3" s="93" t="s">
        <v>21</v>
      </c>
      <c r="AF3" s="93" t="s">
        <v>22</v>
      </c>
      <c r="AG3" s="93" t="s">
        <v>23</v>
      </c>
      <c r="AH3" s="93" t="s">
        <v>24</v>
      </c>
      <c r="AI3" s="93" t="s">
        <v>25</v>
      </c>
      <c r="AJ3" s="93" t="s">
        <v>26</v>
      </c>
      <c r="AK3" s="93" t="s">
        <v>27</v>
      </c>
      <c r="AL3" s="91" t="s">
        <v>28</v>
      </c>
      <c r="AM3" s="136" t="s">
        <v>30</v>
      </c>
      <c r="AN3" s="139" t="s">
        <v>29</v>
      </c>
      <c r="AO3" s="142" t="s">
        <v>41</v>
      </c>
      <c r="AP3" s="47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</row>
    <row r="4" spans="1:56" ht="12.75" customHeight="1" x14ac:dyDescent="0.25">
      <c r="A4" s="120"/>
      <c r="B4" s="90"/>
      <c r="C4" s="94"/>
      <c r="D4" s="96"/>
      <c r="E4" s="94"/>
      <c r="F4" s="96"/>
      <c r="G4" s="94"/>
      <c r="H4" s="96"/>
      <c r="I4" s="94"/>
      <c r="J4" s="96"/>
      <c r="K4" s="94"/>
      <c r="L4" s="96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6"/>
      <c r="AD4" s="94"/>
      <c r="AE4" s="94"/>
      <c r="AF4" s="94"/>
      <c r="AG4" s="94"/>
      <c r="AH4" s="94"/>
      <c r="AI4" s="94"/>
      <c r="AJ4" s="94"/>
      <c r="AK4" s="94"/>
      <c r="AL4" s="92"/>
      <c r="AM4" s="137"/>
      <c r="AN4" s="140"/>
      <c r="AO4" s="143"/>
      <c r="AP4" s="47"/>
      <c r="AQ4" s="125"/>
      <c r="AR4" s="130"/>
      <c r="AS4" s="125"/>
      <c r="AT4" s="130"/>
      <c r="AU4" s="125"/>
      <c r="AV4" s="130"/>
      <c r="AW4" s="125"/>
      <c r="AX4" s="130"/>
      <c r="AY4" s="125"/>
      <c r="AZ4" s="130"/>
      <c r="BA4" s="125"/>
      <c r="BB4" s="130"/>
      <c r="BC4" s="125"/>
      <c r="BD4" s="130"/>
    </row>
    <row r="5" spans="1:56" ht="11" thickBot="1" x14ac:dyDescent="0.3">
      <c r="A5" s="121"/>
      <c r="B5" s="118"/>
      <c r="C5" s="122"/>
      <c r="D5" s="123"/>
      <c r="E5" s="122"/>
      <c r="F5" s="123"/>
      <c r="G5" s="122"/>
      <c r="H5" s="123"/>
      <c r="I5" s="122"/>
      <c r="J5" s="123"/>
      <c r="K5" s="122"/>
      <c r="L5" s="123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3"/>
      <c r="AD5" s="122"/>
      <c r="AE5" s="122"/>
      <c r="AF5" s="122"/>
      <c r="AG5" s="122"/>
      <c r="AH5" s="122"/>
      <c r="AI5" s="122"/>
      <c r="AJ5" s="122"/>
      <c r="AK5" s="122"/>
      <c r="AL5" s="131"/>
      <c r="AM5" s="138"/>
      <c r="AN5" s="141"/>
      <c r="AO5" s="144"/>
      <c r="AP5" s="47"/>
      <c r="AQ5" s="125"/>
      <c r="AR5" s="130"/>
      <c r="AS5" s="125"/>
      <c r="AT5" s="130"/>
      <c r="AU5" s="125"/>
      <c r="AV5" s="130"/>
      <c r="AW5" s="125"/>
      <c r="AX5" s="130"/>
      <c r="AY5" s="125"/>
      <c r="AZ5" s="130"/>
      <c r="BA5" s="125"/>
      <c r="BB5" s="130"/>
      <c r="BC5" s="125"/>
      <c r="BD5" s="130"/>
    </row>
    <row r="6" spans="1:56" x14ac:dyDescent="0.25">
      <c r="A6" s="135" t="str">
        <f>Drivers!AT4</f>
        <v>Carole</v>
      </c>
      <c r="B6" s="49" t="str">
        <f>Drivers!AU4</f>
        <v>Elliott</v>
      </c>
      <c r="C6" s="25">
        <f>Drivers!C12</f>
        <v>33</v>
      </c>
      <c r="D6" s="25">
        <f>Drivers!D12</f>
        <v>38</v>
      </c>
      <c r="E6" s="25">
        <f>Drivers!E12</f>
        <v>33</v>
      </c>
      <c r="F6" s="25">
        <f>Drivers!F12</f>
        <v>14</v>
      </c>
      <c r="G6" s="25">
        <f>Drivers!G12</f>
        <v>40</v>
      </c>
      <c r="H6" s="25">
        <f>Drivers!H12</f>
        <v>26</v>
      </c>
      <c r="I6" s="25">
        <f>Drivers!I12</f>
        <v>55</v>
      </c>
      <c r="J6" s="25">
        <f>Drivers!J12</f>
        <v>15</v>
      </c>
      <c r="K6" s="25">
        <f>Drivers!K12</f>
        <v>41</v>
      </c>
      <c r="L6" s="25">
        <f>Drivers!L12</f>
        <v>35</v>
      </c>
      <c r="M6" s="25">
        <f>Drivers!M12</f>
        <v>69</v>
      </c>
      <c r="N6" s="25">
        <f>Drivers!N12</f>
        <v>13</v>
      </c>
      <c r="O6" s="25">
        <f>Drivers!O12</f>
        <v>1</v>
      </c>
      <c r="P6" s="25">
        <f>Drivers!P12</f>
        <v>37</v>
      </c>
      <c r="Q6" s="25">
        <f>Drivers!Q12</f>
        <v>22</v>
      </c>
      <c r="R6" s="25">
        <f>Drivers!R12</f>
        <v>27</v>
      </c>
      <c r="S6" s="25">
        <f>Drivers!S12</f>
        <v>25</v>
      </c>
      <c r="T6" s="25">
        <f>Drivers!T12</f>
        <v>20</v>
      </c>
      <c r="U6" s="25">
        <f>Drivers!U12</f>
        <v>30</v>
      </c>
      <c r="V6" s="25">
        <f>Drivers!V12</f>
        <v>26</v>
      </c>
      <c r="W6" s="25">
        <f>Drivers!W12</f>
        <v>0</v>
      </c>
      <c r="X6" s="25">
        <f>Drivers!X12</f>
        <v>0</v>
      </c>
      <c r="Y6" s="25">
        <f>Drivers!Y12</f>
        <v>0</v>
      </c>
      <c r="Z6" s="25">
        <f>Drivers!Z12</f>
        <v>0</v>
      </c>
      <c r="AA6" s="25">
        <f>Drivers!AA12</f>
        <v>0</v>
      </c>
      <c r="AB6" s="25">
        <f>Drivers!AB12</f>
        <v>0</v>
      </c>
      <c r="AC6" s="25">
        <f>Drivers!AC12</f>
        <v>0</v>
      </c>
      <c r="AD6" s="25">
        <f>Drivers!AD12</f>
        <v>0</v>
      </c>
      <c r="AE6" s="25">
        <f>Drivers!AE12</f>
        <v>0</v>
      </c>
      <c r="AF6" s="25">
        <f>Drivers!AF12</f>
        <v>0</v>
      </c>
      <c r="AG6" s="25">
        <f>Drivers!AG12</f>
        <v>0</v>
      </c>
      <c r="AH6" s="25">
        <f>Drivers!AH12</f>
        <v>0</v>
      </c>
      <c r="AI6" s="25">
        <f>Drivers!AI12</f>
        <v>0</v>
      </c>
      <c r="AJ6" s="25">
        <f>Drivers!AJ12</f>
        <v>0</v>
      </c>
      <c r="AK6" s="25">
        <f>Drivers!AK12</f>
        <v>0</v>
      </c>
      <c r="AL6" s="25">
        <f>Drivers!AL12</f>
        <v>0</v>
      </c>
      <c r="AM6" s="111">
        <f>SUM(C8:AL8)</f>
        <v>1367</v>
      </c>
      <c r="AN6" s="110">
        <f>RANK($AM$6:$AM$35,$AM$6:$AM$35,1&gt;10)</f>
        <v>1</v>
      </c>
      <c r="AO6" s="101">
        <f>AVERAGE(C8:AL8)</f>
        <v>37.972222222222221</v>
      </c>
    </row>
    <row r="7" spans="1:56" s="1" customFormat="1" ht="13" x14ac:dyDescent="0.3">
      <c r="A7" s="127"/>
      <c r="B7" s="49" t="str">
        <f>Drivers!AU5</f>
        <v>Reddick</v>
      </c>
      <c r="C7" s="26">
        <f>Drivers!C34</f>
        <v>58</v>
      </c>
      <c r="D7" s="26">
        <f>Drivers!D34</f>
        <v>67</v>
      </c>
      <c r="E7" s="26">
        <f>Drivers!E34</f>
        <v>61</v>
      </c>
      <c r="F7" s="26">
        <f>Drivers!F34</f>
        <v>39</v>
      </c>
      <c r="G7" s="26">
        <f>Drivers!G34</f>
        <v>30</v>
      </c>
      <c r="H7" s="26">
        <f>Drivers!H34</f>
        <v>70</v>
      </c>
      <c r="I7" s="26">
        <f>Drivers!I34</f>
        <v>28</v>
      </c>
      <c r="J7" s="26">
        <f>Drivers!J34</f>
        <v>33</v>
      </c>
      <c r="K7" s="26">
        <f>Drivers!K34</f>
        <v>71</v>
      </c>
      <c r="L7" s="26">
        <f>Drivers!L34</f>
        <v>27</v>
      </c>
      <c r="M7" s="26">
        <f>Drivers!M34</f>
        <v>42</v>
      </c>
      <c r="N7" s="26">
        <f>Drivers!N34</f>
        <v>41</v>
      </c>
      <c r="O7" s="26">
        <f>Drivers!O34</f>
        <v>53</v>
      </c>
      <c r="P7" s="26">
        <f>Drivers!P34</f>
        <v>37</v>
      </c>
      <c r="Q7" s="26">
        <f>Drivers!Q34</f>
        <v>12</v>
      </c>
      <c r="R7" s="26">
        <f>Drivers!R34</f>
        <v>35</v>
      </c>
      <c r="S7" s="26">
        <f>Drivers!S34</f>
        <v>12</v>
      </c>
      <c r="T7" s="26">
        <f>Drivers!T34</f>
        <v>2</v>
      </c>
      <c r="U7" s="26">
        <f>Drivers!U34</f>
        <v>2</v>
      </c>
      <c r="V7" s="26">
        <f>Drivers!V34</f>
        <v>47</v>
      </c>
      <c r="W7" s="26">
        <f>Drivers!W34</f>
        <v>0</v>
      </c>
      <c r="X7" s="26">
        <f>Drivers!X34</f>
        <v>0</v>
      </c>
      <c r="Y7" s="26">
        <f>Drivers!Y34</f>
        <v>0</v>
      </c>
      <c r="Z7" s="26">
        <f>Drivers!Z34</f>
        <v>0</v>
      </c>
      <c r="AA7" s="26">
        <f>Drivers!AA34</f>
        <v>0</v>
      </c>
      <c r="AB7" s="26">
        <f>Drivers!AB34</f>
        <v>0</v>
      </c>
      <c r="AC7" s="26">
        <f>Drivers!AC34</f>
        <v>0</v>
      </c>
      <c r="AD7" s="26">
        <f>Drivers!AD34</f>
        <v>0</v>
      </c>
      <c r="AE7" s="26">
        <f>Drivers!AE34</f>
        <v>0</v>
      </c>
      <c r="AF7" s="26">
        <f>Drivers!AF34</f>
        <v>0</v>
      </c>
      <c r="AG7" s="26">
        <f>Drivers!AG34</f>
        <v>0</v>
      </c>
      <c r="AH7" s="26">
        <f>Drivers!AH34</f>
        <v>0</v>
      </c>
      <c r="AI7" s="26">
        <f>Drivers!AI34</f>
        <v>0</v>
      </c>
      <c r="AJ7" s="26">
        <f>Drivers!AJ34</f>
        <v>0</v>
      </c>
      <c r="AK7" s="26">
        <f>Drivers!AK34</f>
        <v>0</v>
      </c>
      <c r="AL7" s="26">
        <f>Drivers!AL34</f>
        <v>0</v>
      </c>
      <c r="AM7" s="112"/>
      <c r="AN7" s="105"/>
      <c r="AO7" s="10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s="1" customFormat="1" ht="13.5" thickBot="1" x14ac:dyDescent="0.35">
      <c r="A8" s="129"/>
      <c r="B8" s="49"/>
      <c r="C8" s="27">
        <f>SUM(C6+C7)</f>
        <v>91</v>
      </c>
      <c r="D8" s="27">
        <f t="shared" ref="D8:AL8" si="0">SUM(D6+D7)</f>
        <v>105</v>
      </c>
      <c r="E8" s="27">
        <f t="shared" si="0"/>
        <v>94</v>
      </c>
      <c r="F8" s="27">
        <f t="shared" si="0"/>
        <v>53</v>
      </c>
      <c r="G8" s="27">
        <f t="shared" si="0"/>
        <v>70</v>
      </c>
      <c r="H8" s="27">
        <f t="shared" si="0"/>
        <v>96</v>
      </c>
      <c r="I8" s="27">
        <f t="shared" si="0"/>
        <v>83</v>
      </c>
      <c r="J8" s="27">
        <f t="shared" si="0"/>
        <v>48</v>
      </c>
      <c r="K8" s="27">
        <f t="shared" si="0"/>
        <v>112</v>
      </c>
      <c r="L8" s="29">
        <f t="shared" si="0"/>
        <v>62</v>
      </c>
      <c r="M8" s="27">
        <f t="shared" si="0"/>
        <v>111</v>
      </c>
      <c r="N8" s="27">
        <f t="shared" si="0"/>
        <v>54</v>
      </c>
      <c r="O8" s="27">
        <f t="shared" si="0"/>
        <v>54</v>
      </c>
      <c r="P8" s="27">
        <f t="shared" si="0"/>
        <v>74</v>
      </c>
      <c r="Q8" s="27">
        <f t="shared" si="0"/>
        <v>34</v>
      </c>
      <c r="R8" s="27">
        <f t="shared" si="0"/>
        <v>62</v>
      </c>
      <c r="S8" s="27">
        <f t="shared" si="0"/>
        <v>37</v>
      </c>
      <c r="T8" s="27">
        <f t="shared" si="0"/>
        <v>22</v>
      </c>
      <c r="U8" s="27">
        <f t="shared" si="0"/>
        <v>32</v>
      </c>
      <c r="V8" s="27">
        <f t="shared" si="0"/>
        <v>73</v>
      </c>
      <c r="W8" s="27">
        <f t="shared" si="0"/>
        <v>0</v>
      </c>
      <c r="X8" s="27">
        <f t="shared" si="0"/>
        <v>0</v>
      </c>
      <c r="Y8" s="27">
        <f t="shared" si="0"/>
        <v>0</v>
      </c>
      <c r="Z8" s="27">
        <f t="shared" si="0"/>
        <v>0</v>
      </c>
      <c r="AA8" s="27">
        <f t="shared" si="0"/>
        <v>0</v>
      </c>
      <c r="AB8" s="27">
        <f t="shared" si="0"/>
        <v>0</v>
      </c>
      <c r="AC8" s="29">
        <f t="shared" si="0"/>
        <v>0</v>
      </c>
      <c r="AD8" s="27">
        <f t="shared" si="0"/>
        <v>0</v>
      </c>
      <c r="AE8" s="27">
        <f t="shared" si="0"/>
        <v>0</v>
      </c>
      <c r="AF8" s="27">
        <f t="shared" si="0"/>
        <v>0</v>
      </c>
      <c r="AG8" s="27">
        <f t="shared" si="0"/>
        <v>0</v>
      </c>
      <c r="AH8" s="27">
        <f t="shared" si="0"/>
        <v>0</v>
      </c>
      <c r="AI8" s="27">
        <f t="shared" si="0"/>
        <v>0</v>
      </c>
      <c r="AJ8" s="27">
        <f t="shared" si="0"/>
        <v>0</v>
      </c>
      <c r="AK8" s="27">
        <f t="shared" si="0"/>
        <v>0</v>
      </c>
      <c r="AL8" s="32">
        <f t="shared" si="0"/>
        <v>0</v>
      </c>
      <c r="AM8" s="112"/>
      <c r="AN8" s="105"/>
      <c r="AO8" s="10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</row>
    <row r="9" spans="1:56" s="1" customFormat="1" ht="13" x14ac:dyDescent="0.3">
      <c r="A9" s="128" t="str">
        <f>Drivers!AT7</f>
        <v>Butch</v>
      </c>
      <c r="B9" s="50" t="str">
        <f>Drivers!AU7</f>
        <v>Briscoe</v>
      </c>
      <c r="C9" s="38">
        <f>Drivers!C19</f>
        <v>1</v>
      </c>
      <c r="D9" s="38">
        <f>Drivers!D19</f>
        <v>43</v>
      </c>
      <c r="E9" s="38">
        <f>Drivers!E19</f>
        <v>1</v>
      </c>
      <c r="F9" s="38">
        <f>Drivers!F19</f>
        <v>1</v>
      </c>
      <c r="G9" s="38">
        <f>Drivers!G19</f>
        <v>29</v>
      </c>
      <c r="H9" s="38">
        <f>Drivers!H19</f>
        <v>32</v>
      </c>
      <c r="I9" s="38">
        <f>Drivers!I19</f>
        <v>23</v>
      </c>
      <c r="J9" s="38">
        <f>Drivers!J19</f>
        <v>45</v>
      </c>
      <c r="K9" s="38">
        <f>Drivers!K19</f>
        <v>38</v>
      </c>
      <c r="L9" s="38">
        <f>Drivers!L19</f>
        <v>8</v>
      </c>
      <c r="M9" s="38">
        <f>Drivers!M19</f>
        <v>20</v>
      </c>
      <c r="N9" s="38">
        <f>Drivers!N19</f>
        <v>35</v>
      </c>
      <c r="O9" s="38">
        <f>Drivers!O19</f>
        <v>27</v>
      </c>
      <c r="P9" s="38">
        <f>Drivers!P19</f>
        <v>39</v>
      </c>
      <c r="Q9" s="38">
        <f>Drivers!Q19</f>
        <v>27</v>
      </c>
      <c r="R9" s="38">
        <f>Drivers!R19</f>
        <v>41</v>
      </c>
      <c r="S9" s="38">
        <f>Drivers!S19</f>
        <v>20</v>
      </c>
      <c r="T9" s="38">
        <f>Drivers!T19</f>
        <v>37</v>
      </c>
      <c r="U9" s="38">
        <f>Drivers!U19</f>
        <v>70</v>
      </c>
      <c r="V9" s="38">
        <f>Drivers!V19</f>
        <v>4</v>
      </c>
      <c r="W9" s="38">
        <f>Drivers!W19</f>
        <v>0</v>
      </c>
      <c r="X9" s="38">
        <f>Drivers!X19</f>
        <v>0</v>
      </c>
      <c r="Y9" s="38">
        <f>Drivers!Y19</f>
        <v>0</v>
      </c>
      <c r="Z9" s="38">
        <f>Drivers!Z19</f>
        <v>0</v>
      </c>
      <c r="AA9" s="38">
        <f>Drivers!AA19</f>
        <v>0</v>
      </c>
      <c r="AB9" s="38">
        <f>Drivers!AB19</f>
        <v>0</v>
      </c>
      <c r="AC9" s="38">
        <f>Drivers!AC19</f>
        <v>0</v>
      </c>
      <c r="AD9" s="38">
        <f>Drivers!AD19</f>
        <v>0</v>
      </c>
      <c r="AE9" s="38">
        <f>Drivers!AE19</f>
        <v>0</v>
      </c>
      <c r="AF9" s="38">
        <f>Drivers!AF19</f>
        <v>0</v>
      </c>
      <c r="AG9" s="38">
        <f>Drivers!AG19</f>
        <v>0</v>
      </c>
      <c r="AH9" s="38">
        <f>Drivers!AH19</f>
        <v>0</v>
      </c>
      <c r="AI9" s="38">
        <f>Drivers!AI19</f>
        <v>0</v>
      </c>
      <c r="AJ9" s="38">
        <f>Drivers!AJ19</f>
        <v>0</v>
      </c>
      <c r="AK9" s="38">
        <f>Drivers!AK19</f>
        <v>0</v>
      </c>
      <c r="AL9" s="38">
        <f>Drivers!AL19</f>
        <v>0</v>
      </c>
      <c r="AM9" s="113">
        <f>SUM(C11:AL11)</f>
        <v>1004</v>
      </c>
      <c r="AN9" s="107">
        <f>RANK($AM$6:$AM$35,$AM$6:$AM$35,1&gt;10)</f>
        <v>6</v>
      </c>
      <c r="AO9" s="101">
        <f t="shared" ref="AO9" si="1">AVERAGE(C11:AL11)</f>
        <v>27.888888888888889</v>
      </c>
      <c r="AP9" s="2"/>
      <c r="AQ9" s="13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s="1" customFormat="1" ht="12.75" customHeight="1" x14ac:dyDescent="0.3">
      <c r="A10" s="127"/>
      <c r="B10" s="49" t="str">
        <f>Drivers!AU8</f>
        <v>Van Gisbergen</v>
      </c>
      <c r="C10" s="26">
        <f>Drivers!C46</f>
        <v>7</v>
      </c>
      <c r="D10" s="26">
        <f>Drivers!D46</f>
        <v>32</v>
      </c>
      <c r="E10" s="26">
        <f>Drivers!E46</f>
        <v>45</v>
      </c>
      <c r="F10" s="26">
        <f>Drivers!F46</f>
        <v>26</v>
      </c>
      <c r="G10" s="26">
        <f>Drivers!G46</f>
        <v>1</v>
      </c>
      <c r="H10" s="26">
        <f>Drivers!H46</f>
        <v>23</v>
      </c>
      <c r="I10" s="26">
        <f>Drivers!I46</f>
        <v>34</v>
      </c>
      <c r="J10" s="26">
        <f>Drivers!J46</f>
        <v>3</v>
      </c>
      <c r="K10" s="26">
        <f>Drivers!K46</f>
        <v>1</v>
      </c>
      <c r="L10" s="26">
        <f>Drivers!L46</f>
        <v>17</v>
      </c>
      <c r="M10" s="26">
        <f>Drivers!M46</f>
        <v>20</v>
      </c>
      <c r="N10" s="26">
        <f>Drivers!N46</f>
        <v>68</v>
      </c>
      <c r="O10" s="26">
        <f>Drivers!O46</f>
        <v>33</v>
      </c>
      <c r="P10" s="26">
        <f>Drivers!P46</f>
        <v>32</v>
      </c>
      <c r="Q10" s="26">
        <f>Drivers!Q46</f>
        <v>7</v>
      </c>
      <c r="R10" s="26">
        <f>Drivers!R46</f>
        <v>6</v>
      </c>
      <c r="S10" s="26">
        <f>Drivers!S46</f>
        <v>1</v>
      </c>
      <c r="T10" s="26">
        <f>Drivers!T46</f>
        <v>63</v>
      </c>
      <c r="U10" s="26">
        <f>Drivers!U46</f>
        <v>12</v>
      </c>
      <c r="V10" s="26">
        <f>Drivers!V46</f>
        <v>32</v>
      </c>
      <c r="W10" s="26">
        <f>Drivers!W46</f>
        <v>0</v>
      </c>
      <c r="X10" s="26">
        <f>Drivers!X46</f>
        <v>0</v>
      </c>
      <c r="Y10" s="26">
        <f>Drivers!Y46</f>
        <v>0</v>
      </c>
      <c r="Z10" s="26">
        <f>Drivers!Z46</f>
        <v>0</v>
      </c>
      <c r="AA10" s="26">
        <f>Drivers!AA46</f>
        <v>0</v>
      </c>
      <c r="AB10" s="26">
        <f>Drivers!AB46</f>
        <v>0</v>
      </c>
      <c r="AC10" s="26">
        <f>Drivers!AC46</f>
        <v>0</v>
      </c>
      <c r="AD10" s="26">
        <f>Drivers!AD46</f>
        <v>0</v>
      </c>
      <c r="AE10" s="26">
        <f>Drivers!AE46</f>
        <v>0</v>
      </c>
      <c r="AF10" s="26">
        <f>Drivers!AF46</f>
        <v>0</v>
      </c>
      <c r="AG10" s="26">
        <f>Drivers!AG46</f>
        <v>0</v>
      </c>
      <c r="AH10" s="26">
        <f>Drivers!AH46</f>
        <v>0</v>
      </c>
      <c r="AI10" s="26">
        <f>Drivers!AI46</f>
        <v>0</v>
      </c>
      <c r="AJ10" s="26">
        <f>Drivers!AJ46</f>
        <v>0</v>
      </c>
      <c r="AK10" s="26">
        <f>Drivers!AK46</f>
        <v>0</v>
      </c>
      <c r="AL10" s="26">
        <f>Drivers!AL46</f>
        <v>0</v>
      </c>
      <c r="AM10" s="112"/>
      <c r="AN10" s="105"/>
      <c r="AO10" s="102"/>
      <c r="AP10" s="2"/>
      <c r="AQ10" s="13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s="1" customFormat="1" ht="12.75" customHeight="1" thickBot="1" x14ac:dyDescent="0.35">
      <c r="A11" s="129"/>
      <c r="B11" s="51"/>
      <c r="C11" s="44">
        <f>SUM(C9+C10)</f>
        <v>8</v>
      </c>
      <c r="D11" s="44">
        <f t="shared" ref="D11:AL11" si="2">SUM(D9+D10)</f>
        <v>75</v>
      </c>
      <c r="E11" s="44">
        <f t="shared" si="2"/>
        <v>46</v>
      </c>
      <c r="F11" s="44">
        <f t="shared" si="2"/>
        <v>27</v>
      </c>
      <c r="G11" s="44">
        <f t="shared" si="2"/>
        <v>30</v>
      </c>
      <c r="H11" s="44">
        <f t="shared" si="2"/>
        <v>55</v>
      </c>
      <c r="I11" s="44">
        <f t="shared" si="2"/>
        <v>57</v>
      </c>
      <c r="J11" s="44">
        <f t="shared" si="2"/>
        <v>48</v>
      </c>
      <c r="K11" s="44">
        <f t="shared" si="2"/>
        <v>39</v>
      </c>
      <c r="L11" s="45">
        <f t="shared" si="2"/>
        <v>25</v>
      </c>
      <c r="M11" s="44">
        <f t="shared" si="2"/>
        <v>40</v>
      </c>
      <c r="N11" s="44">
        <f t="shared" si="2"/>
        <v>103</v>
      </c>
      <c r="O11" s="44">
        <f t="shared" si="2"/>
        <v>60</v>
      </c>
      <c r="P11" s="44">
        <f t="shared" si="2"/>
        <v>71</v>
      </c>
      <c r="Q11" s="44">
        <f t="shared" si="2"/>
        <v>34</v>
      </c>
      <c r="R11" s="44">
        <f t="shared" si="2"/>
        <v>47</v>
      </c>
      <c r="S11" s="44">
        <f t="shared" si="2"/>
        <v>21</v>
      </c>
      <c r="T11" s="44">
        <f t="shared" si="2"/>
        <v>100</v>
      </c>
      <c r="U11" s="44">
        <f t="shared" si="2"/>
        <v>82</v>
      </c>
      <c r="V11" s="44">
        <f t="shared" si="2"/>
        <v>36</v>
      </c>
      <c r="W11" s="44">
        <f t="shared" si="2"/>
        <v>0</v>
      </c>
      <c r="X11" s="44">
        <f t="shared" si="2"/>
        <v>0</v>
      </c>
      <c r="Y11" s="44">
        <f t="shared" si="2"/>
        <v>0</v>
      </c>
      <c r="Z11" s="44">
        <f t="shared" si="2"/>
        <v>0</v>
      </c>
      <c r="AA11" s="44">
        <f t="shared" si="2"/>
        <v>0</v>
      </c>
      <c r="AB11" s="44">
        <f t="shared" si="2"/>
        <v>0</v>
      </c>
      <c r="AC11" s="45">
        <f t="shared" si="2"/>
        <v>0</v>
      </c>
      <c r="AD11" s="44">
        <f t="shared" si="2"/>
        <v>0</v>
      </c>
      <c r="AE11" s="44">
        <f t="shared" si="2"/>
        <v>0</v>
      </c>
      <c r="AF11" s="44">
        <f t="shared" si="2"/>
        <v>0</v>
      </c>
      <c r="AG11" s="44">
        <f t="shared" si="2"/>
        <v>0</v>
      </c>
      <c r="AH11" s="44">
        <f t="shared" si="2"/>
        <v>0</v>
      </c>
      <c r="AI11" s="44">
        <f t="shared" si="2"/>
        <v>0</v>
      </c>
      <c r="AJ11" s="44">
        <f t="shared" si="2"/>
        <v>0</v>
      </c>
      <c r="AK11" s="44">
        <f t="shared" si="2"/>
        <v>0</v>
      </c>
      <c r="AL11" s="46">
        <f t="shared" si="2"/>
        <v>0</v>
      </c>
      <c r="AM11" s="114"/>
      <c r="AN11" s="108"/>
      <c r="AO11" s="10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</row>
    <row r="12" spans="1:56" s="1" customFormat="1" ht="12.75" customHeight="1" x14ac:dyDescent="0.3">
      <c r="A12" s="128" t="str">
        <f>Drivers!AT10</f>
        <v>Jason</v>
      </c>
      <c r="B12" s="50" t="str">
        <f>Drivers!AU10</f>
        <v>Larson</v>
      </c>
      <c r="C12" s="38">
        <f>Drivers!C8</f>
        <v>21</v>
      </c>
      <c r="D12" s="38">
        <f>Drivers!D8</f>
        <v>13</v>
      </c>
      <c r="E12" s="38">
        <f>Drivers!E8</f>
        <v>31</v>
      </c>
      <c r="F12" s="38">
        <f>Drivers!F8</f>
        <v>36</v>
      </c>
      <c r="G12" s="38">
        <f>Drivers!G8</f>
        <v>48</v>
      </c>
      <c r="H12" s="38">
        <f>Drivers!H8</f>
        <v>19</v>
      </c>
      <c r="I12" s="38">
        <f>Drivers!I8</f>
        <v>30</v>
      </c>
      <c r="J12" s="38">
        <f>Drivers!J8</f>
        <v>54</v>
      </c>
      <c r="K12" s="38">
        <f>Drivers!K8</f>
        <v>54</v>
      </c>
      <c r="L12" s="38">
        <f>Drivers!L8</f>
        <v>1</v>
      </c>
      <c r="M12" s="38">
        <f>Drivers!M8</f>
        <v>3</v>
      </c>
      <c r="N12" s="38">
        <f>Drivers!N8</f>
        <v>14</v>
      </c>
      <c r="O12" s="38">
        <f>Drivers!O8</f>
        <v>54</v>
      </c>
      <c r="P12" s="38">
        <f>Drivers!P8</f>
        <v>23</v>
      </c>
      <c r="Q12" s="38">
        <f>Drivers!Q8</f>
        <v>44</v>
      </c>
      <c r="R12" s="38">
        <f>Drivers!R8</f>
        <v>24</v>
      </c>
      <c r="S12" s="38">
        <f>Drivers!S8</f>
        <v>42</v>
      </c>
      <c r="T12" s="38">
        <f>Drivers!T8</f>
        <v>35</v>
      </c>
      <c r="U12" s="38">
        <f>Drivers!U8</f>
        <v>12</v>
      </c>
      <c r="V12" s="38">
        <f>Drivers!V8</f>
        <v>11</v>
      </c>
      <c r="W12" s="38">
        <f>Drivers!W8</f>
        <v>0</v>
      </c>
      <c r="X12" s="38">
        <f>Drivers!X8</f>
        <v>0</v>
      </c>
      <c r="Y12" s="38">
        <f>Drivers!Y8</f>
        <v>0</v>
      </c>
      <c r="Z12" s="38">
        <f>Drivers!Z8</f>
        <v>0</v>
      </c>
      <c r="AA12" s="38">
        <f>Drivers!AA8</f>
        <v>0</v>
      </c>
      <c r="AB12" s="38">
        <f>Drivers!AB8</f>
        <v>0</v>
      </c>
      <c r="AC12" s="38">
        <f>Drivers!AC8</f>
        <v>0</v>
      </c>
      <c r="AD12" s="38">
        <f>Drivers!AD8</f>
        <v>0</v>
      </c>
      <c r="AE12" s="38">
        <f>Drivers!AE8</f>
        <v>0</v>
      </c>
      <c r="AF12" s="38">
        <f>Drivers!AF8</f>
        <v>0</v>
      </c>
      <c r="AG12" s="38">
        <f>Drivers!AG8</f>
        <v>0</v>
      </c>
      <c r="AH12" s="38">
        <f>Drivers!AH8</f>
        <v>0</v>
      </c>
      <c r="AI12" s="38">
        <f>Drivers!AI8</f>
        <v>0</v>
      </c>
      <c r="AJ12" s="38">
        <f>Drivers!AJ8</f>
        <v>0</v>
      </c>
      <c r="AK12" s="38">
        <f>Drivers!AK8</f>
        <v>0</v>
      </c>
      <c r="AL12" s="38">
        <f>Drivers!AL8</f>
        <v>0</v>
      </c>
      <c r="AM12" s="111">
        <f>SUM(C14:AL14)</f>
        <v>1136</v>
      </c>
      <c r="AN12" s="109">
        <f>RANK($AM$6:$AM$35,$AM$6:$AM$35,1&gt;10)</f>
        <v>4</v>
      </c>
      <c r="AO12" s="101">
        <f t="shared" ref="AO12" si="3">AVERAGE(C14:AL14)</f>
        <v>31.555555555555557</v>
      </c>
      <c r="AP12" s="2"/>
      <c r="AQ12" s="13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s="1" customFormat="1" ht="13" x14ac:dyDescent="0.3">
      <c r="A13" s="127"/>
      <c r="B13" s="49" t="str">
        <f>Drivers!AU11</f>
        <v>Buscher</v>
      </c>
      <c r="C13" s="26">
        <f>Drivers!C18</f>
        <v>39</v>
      </c>
      <c r="D13" s="26">
        <f>Drivers!D18</f>
        <v>22</v>
      </c>
      <c r="E13" s="26">
        <f>Drivers!E18</f>
        <v>19</v>
      </c>
      <c r="F13" s="26">
        <f>Drivers!F18</f>
        <v>30</v>
      </c>
      <c r="G13" s="26">
        <f>Drivers!G18</f>
        <v>35</v>
      </c>
      <c r="H13" s="26">
        <f>Drivers!H18</f>
        <v>42</v>
      </c>
      <c r="I13" s="26">
        <f>Drivers!I18</f>
        <v>18</v>
      </c>
      <c r="J13" s="26">
        <f>Drivers!J18</f>
        <v>24</v>
      </c>
      <c r="K13" s="26">
        <f>Drivers!K18</f>
        <v>29</v>
      </c>
      <c r="L13" s="26">
        <f>Drivers!L18</f>
        <v>50</v>
      </c>
      <c r="M13" s="26">
        <f>Drivers!M18</f>
        <v>36</v>
      </c>
      <c r="N13" s="26">
        <f>Drivers!N18</f>
        <v>30</v>
      </c>
      <c r="O13" s="26">
        <f>Drivers!O18</f>
        <v>10</v>
      </c>
      <c r="P13" s="26">
        <f>Drivers!P18</f>
        <v>8</v>
      </c>
      <c r="Q13" s="26">
        <f>Drivers!Q18</f>
        <v>31</v>
      </c>
      <c r="R13" s="26">
        <f>Drivers!R18</f>
        <v>37</v>
      </c>
      <c r="S13" s="26">
        <f>Drivers!S18</f>
        <v>39</v>
      </c>
      <c r="T13" s="26">
        <f>Drivers!T18</f>
        <v>18</v>
      </c>
      <c r="U13" s="26">
        <f>Drivers!U18</f>
        <v>23</v>
      </c>
      <c r="V13" s="26">
        <f>Drivers!V18</f>
        <v>27</v>
      </c>
      <c r="W13" s="26">
        <f>Drivers!W18</f>
        <v>0</v>
      </c>
      <c r="X13" s="26">
        <f>Drivers!X18</f>
        <v>0</v>
      </c>
      <c r="Y13" s="26">
        <f>Drivers!Y18</f>
        <v>0</v>
      </c>
      <c r="Z13" s="26">
        <f>Drivers!Z18</f>
        <v>0</v>
      </c>
      <c r="AA13" s="26">
        <f>Drivers!AA18</f>
        <v>0</v>
      </c>
      <c r="AB13" s="26">
        <f>Drivers!AB18</f>
        <v>0</v>
      </c>
      <c r="AC13" s="26">
        <f>Drivers!AC18</f>
        <v>0</v>
      </c>
      <c r="AD13" s="26">
        <f>Drivers!AD18</f>
        <v>0</v>
      </c>
      <c r="AE13" s="26">
        <f>Drivers!AE18</f>
        <v>0</v>
      </c>
      <c r="AF13" s="26">
        <f>Drivers!AF18</f>
        <v>0</v>
      </c>
      <c r="AG13" s="26">
        <f>Drivers!AG18</f>
        <v>0</v>
      </c>
      <c r="AH13" s="26">
        <f>Drivers!AH18</f>
        <v>0</v>
      </c>
      <c r="AI13" s="26">
        <f>Drivers!AI18</f>
        <v>0</v>
      </c>
      <c r="AJ13" s="26">
        <f>Drivers!AJ18</f>
        <v>0</v>
      </c>
      <c r="AK13" s="26">
        <f>Drivers!AK18</f>
        <v>0</v>
      </c>
      <c r="AL13" s="26">
        <f>Drivers!AL18</f>
        <v>0</v>
      </c>
      <c r="AM13" s="112"/>
      <c r="AN13" s="105"/>
      <c r="AO13" s="102"/>
      <c r="AP13" s="2"/>
      <c r="AQ13" s="13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s="1" customFormat="1" ht="13.5" thickBot="1" x14ac:dyDescent="0.35">
      <c r="A14" s="129"/>
      <c r="B14" s="52"/>
      <c r="C14" s="44">
        <f>SUM(C12+C13)</f>
        <v>60</v>
      </c>
      <c r="D14" s="44">
        <f t="shared" ref="D14:AL14" si="4">SUM(D12+D13)</f>
        <v>35</v>
      </c>
      <c r="E14" s="44">
        <f t="shared" si="4"/>
        <v>50</v>
      </c>
      <c r="F14" s="44">
        <f t="shared" si="4"/>
        <v>66</v>
      </c>
      <c r="G14" s="44">
        <f t="shared" si="4"/>
        <v>83</v>
      </c>
      <c r="H14" s="44">
        <f t="shared" si="4"/>
        <v>61</v>
      </c>
      <c r="I14" s="44">
        <f t="shared" si="4"/>
        <v>48</v>
      </c>
      <c r="J14" s="44">
        <f t="shared" si="4"/>
        <v>78</v>
      </c>
      <c r="K14" s="44">
        <f t="shared" si="4"/>
        <v>83</v>
      </c>
      <c r="L14" s="45">
        <f t="shared" si="4"/>
        <v>51</v>
      </c>
      <c r="M14" s="44">
        <f t="shared" si="4"/>
        <v>39</v>
      </c>
      <c r="N14" s="44">
        <f t="shared" si="4"/>
        <v>44</v>
      </c>
      <c r="O14" s="44">
        <f t="shared" si="4"/>
        <v>64</v>
      </c>
      <c r="P14" s="44">
        <f t="shared" si="4"/>
        <v>31</v>
      </c>
      <c r="Q14" s="44">
        <f t="shared" si="4"/>
        <v>75</v>
      </c>
      <c r="R14" s="44">
        <f t="shared" si="4"/>
        <v>61</v>
      </c>
      <c r="S14" s="44">
        <f t="shared" si="4"/>
        <v>81</v>
      </c>
      <c r="T14" s="44">
        <f t="shared" si="4"/>
        <v>53</v>
      </c>
      <c r="U14" s="44">
        <f t="shared" si="4"/>
        <v>35</v>
      </c>
      <c r="V14" s="44">
        <f t="shared" si="4"/>
        <v>38</v>
      </c>
      <c r="W14" s="44">
        <f t="shared" si="4"/>
        <v>0</v>
      </c>
      <c r="X14" s="44">
        <f t="shared" si="4"/>
        <v>0</v>
      </c>
      <c r="Y14" s="44">
        <f t="shared" si="4"/>
        <v>0</v>
      </c>
      <c r="Z14" s="44">
        <f t="shared" si="4"/>
        <v>0</v>
      </c>
      <c r="AA14" s="44">
        <f t="shared" si="4"/>
        <v>0</v>
      </c>
      <c r="AB14" s="44">
        <f t="shared" si="4"/>
        <v>0</v>
      </c>
      <c r="AC14" s="45">
        <f t="shared" si="4"/>
        <v>0</v>
      </c>
      <c r="AD14" s="44">
        <f t="shared" si="4"/>
        <v>0</v>
      </c>
      <c r="AE14" s="44">
        <f t="shared" si="4"/>
        <v>0</v>
      </c>
      <c r="AF14" s="44">
        <f t="shared" si="4"/>
        <v>0</v>
      </c>
      <c r="AG14" s="44">
        <f t="shared" si="4"/>
        <v>0</v>
      </c>
      <c r="AH14" s="44">
        <f t="shared" si="4"/>
        <v>0</v>
      </c>
      <c r="AI14" s="44">
        <f t="shared" si="4"/>
        <v>0</v>
      </c>
      <c r="AJ14" s="44">
        <f t="shared" si="4"/>
        <v>0</v>
      </c>
      <c r="AK14" s="44">
        <f t="shared" si="4"/>
        <v>0</v>
      </c>
      <c r="AL14" s="46">
        <f t="shared" si="4"/>
        <v>0</v>
      </c>
      <c r="AM14" s="112"/>
      <c r="AN14" s="105"/>
      <c r="AO14" s="10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</row>
    <row r="15" spans="1:56" s="1" customFormat="1" ht="12.75" customHeight="1" x14ac:dyDescent="0.3">
      <c r="A15" s="128" t="str">
        <f>Drivers!AT13</f>
        <v>Shenk</v>
      </c>
      <c r="B15" s="50" t="str">
        <f>Drivers!AU13</f>
        <v>Hamlin</v>
      </c>
      <c r="C15" s="38">
        <f>Drivers!C14</f>
        <v>6</v>
      </c>
      <c r="D15" s="38">
        <f>Drivers!D14</f>
        <v>24</v>
      </c>
      <c r="E15" s="38">
        <f>Drivers!E14</f>
        <v>28</v>
      </c>
      <c r="F15" s="38">
        <f>Drivers!F14</f>
        <v>47</v>
      </c>
      <c r="G15" s="38">
        <f>Drivers!G14</f>
        <v>70</v>
      </c>
      <c r="H15" s="38">
        <f>Drivers!H14</f>
        <v>26</v>
      </c>
      <c r="I15" s="38">
        <f>Drivers!I14</f>
        <v>56</v>
      </c>
      <c r="J15" s="38">
        <f>Drivers!J14</f>
        <v>41</v>
      </c>
      <c r="K15" s="38">
        <f>Drivers!K14</f>
        <v>52</v>
      </c>
      <c r="L15" s="38">
        <f>Drivers!L14</f>
        <v>22</v>
      </c>
      <c r="M15" s="38">
        <f>Drivers!M14</f>
        <v>43</v>
      </c>
      <c r="N15" s="38">
        <f>Drivers!N14</f>
        <v>21</v>
      </c>
      <c r="O15" s="38">
        <f>Drivers!O14</f>
        <v>60</v>
      </c>
      <c r="P15" s="38">
        <f>Drivers!P14</f>
        <v>62</v>
      </c>
      <c r="Q15" s="38">
        <f>Drivers!Q14</f>
        <v>58</v>
      </c>
      <c r="R15" s="38">
        <f>Drivers!R14</f>
        <v>67</v>
      </c>
      <c r="S15" s="38">
        <f>Drivers!S14</f>
        <v>23</v>
      </c>
      <c r="T15" s="38">
        <f>Drivers!T14</f>
        <v>11</v>
      </c>
      <c r="U15" s="38">
        <f>Drivers!U14</f>
        <v>45</v>
      </c>
      <c r="V15" s="38">
        <f>Drivers!V14</f>
        <v>27</v>
      </c>
      <c r="W15" s="38">
        <f>Drivers!W14</f>
        <v>0</v>
      </c>
      <c r="X15" s="38">
        <f>Drivers!X14</f>
        <v>0</v>
      </c>
      <c r="Y15" s="38">
        <f>Drivers!Y14</f>
        <v>0</v>
      </c>
      <c r="Z15" s="38">
        <f>Drivers!Z14</f>
        <v>0</v>
      </c>
      <c r="AA15" s="38">
        <f>Drivers!AA14</f>
        <v>0</v>
      </c>
      <c r="AB15" s="38">
        <f>Drivers!AB14</f>
        <v>0</v>
      </c>
      <c r="AC15" s="38">
        <f>Drivers!AC14</f>
        <v>0</v>
      </c>
      <c r="AD15" s="38">
        <f>Drivers!AD14</f>
        <v>0</v>
      </c>
      <c r="AE15" s="38">
        <f>Drivers!AE14</f>
        <v>0</v>
      </c>
      <c r="AF15" s="38">
        <f>Drivers!AF14</f>
        <v>0</v>
      </c>
      <c r="AG15" s="38">
        <f>Drivers!AG14</f>
        <v>0</v>
      </c>
      <c r="AH15" s="38">
        <f>Drivers!AH14</f>
        <v>0</v>
      </c>
      <c r="AI15" s="38">
        <f>Drivers!AI14</f>
        <v>0</v>
      </c>
      <c r="AJ15" s="38">
        <f>Drivers!AJ14</f>
        <v>0</v>
      </c>
      <c r="AK15" s="38">
        <f>Drivers!AK14</f>
        <v>0</v>
      </c>
      <c r="AL15" s="38">
        <f>Drivers!AL14</f>
        <v>0</v>
      </c>
      <c r="AM15" s="113">
        <f>SUM(C17:AL17)</f>
        <v>1217</v>
      </c>
      <c r="AN15" s="107">
        <f>RANK($AM$6:$AM$35,$AM$6:$AM$35,1&gt;10)</f>
        <v>2</v>
      </c>
      <c r="AO15" s="101">
        <f t="shared" ref="AO15" si="5">AVERAGE(C17:AL17)</f>
        <v>33.805555555555557</v>
      </c>
      <c r="AP15" s="2"/>
      <c r="AQ15" s="13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s="1" customFormat="1" ht="13" x14ac:dyDescent="0.3">
      <c r="A16" s="127"/>
      <c r="B16" s="49" t="str">
        <f>Drivers!AU14</f>
        <v>Logano</v>
      </c>
      <c r="C16" s="26">
        <f>Drivers!C22</f>
        <v>36</v>
      </c>
      <c r="D16" s="26">
        <f>Drivers!D22</f>
        <v>22</v>
      </c>
      <c r="E16" s="26">
        <f>Drivers!E22</f>
        <v>22</v>
      </c>
      <c r="F16" s="26">
        <f>Drivers!F22</f>
        <v>23</v>
      </c>
      <c r="G16" s="26">
        <f>Drivers!G22</f>
        <v>22</v>
      </c>
      <c r="H16" s="26">
        <f>Drivers!H22</f>
        <v>4</v>
      </c>
      <c r="I16" s="26">
        <f>Drivers!I22</f>
        <v>46</v>
      </c>
      <c r="J16" s="26">
        <f>Drivers!J22</f>
        <v>33</v>
      </c>
      <c r="K16" s="26">
        <f>Drivers!K22</f>
        <v>7</v>
      </c>
      <c r="L16" s="26">
        <f>Drivers!L22</f>
        <v>9</v>
      </c>
      <c r="M16" s="26">
        <f>Drivers!M22</f>
        <v>1</v>
      </c>
      <c r="N16" s="26">
        <f>Drivers!N22</f>
        <v>10</v>
      </c>
      <c r="O16" s="26">
        <f>Drivers!O22</f>
        <v>29</v>
      </c>
      <c r="P16" s="26">
        <f>Drivers!P22</f>
        <v>23</v>
      </c>
      <c r="Q16" s="26">
        <f>Drivers!Q22</f>
        <v>32</v>
      </c>
      <c r="R16" s="26">
        <f>Drivers!R22</f>
        <v>5</v>
      </c>
      <c r="S16" s="26">
        <f>Drivers!S22</f>
        <v>23</v>
      </c>
      <c r="T16" s="26">
        <f>Drivers!T22</f>
        <v>13</v>
      </c>
      <c r="U16" s="26">
        <f>Drivers!U22</f>
        <v>25</v>
      </c>
      <c r="V16" s="26">
        <f>Drivers!V22</f>
        <v>43</v>
      </c>
      <c r="W16" s="26">
        <f>Drivers!W22</f>
        <v>0</v>
      </c>
      <c r="X16" s="26">
        <f>Drivers!X22</f>
        <v>0</v>
      </c>
      <c r="Y16" s="26">
        <f>Drivers!Y22</f>
        <v>0</v>
      </c>
      <c r="Z16" s="26">
        <f>Drivers!Z22</f>
        <v>0</v>
      </c>
      <c r="AA16" s="26">
        <f>Drivers!AA22</f>
        <v>0</v>
      </c>
      <c r="AB16" s="26">
        <f>Drivers!AB22</f>
        <v>0</v>
      </c>
      <c r="AC16" s="26">
        <f>Drivers!AC22</f>
        <v>0</v>
      </c>
      <c r="AD16" s="26">
        <f>Drivers!AD22</f>
        <v>0</v>
      </c>
      <c r="AE16" s="26">
        <f>Drivers!AE22</f>
        <v>0</v>
      </c>
      <c r="AF16" s="26">
        <f>Drivers!AF22</f>
        <v>0</v>
      </c>
      <c r="AG16" s="26">
        <f>Drivers!AG22</f>
        <v>0</v>
      </c>
      <c r="AH16" s="26">
        <f>Drivers!AH22</f>
        <v>0</v>
      </c>
      <c r="AI16" s="26">
        <f>Drivers!AI22</f>
        <v>0</v>
      </c>
      <c r="AJ16" s="26">
        <f>Drivers!AJ22</f>
        <v>0</v>
      </c>
      <c r="AK16" s="26">
        <f>Drivers!AK22</f>
        <v>0</v>
      </c>
      <c r="AL16" s="26">
        <f>Drivers!AL22</f>
        <v>0</v>
      </c>
      <c r="AM16" s="112"/>
      <c r="AN16" s="105"/>
      <c r="AO16" s="102"/>
      <c r="AP16" s="2"/>
      <c r="AQ16" s="13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s="1" customFormat="1" ht="13.5" thickBot="1" x14ac:dyDescent="0.35">
      <c r="A17" s="129"/>
      <c r="B17" s="52"/>
      <c r="C17" s="44">
        <f>SUM(C15+C16)</f>
        <v>42</v>
      </c>
      <c r="D17" s="44">
        <f t="shared" ref="D17:AL17" si="6">SUM(D15+D16)</f>
        <v>46</v>
      </c>
      <c r="E17" s="44">
        <f t="shared" si="6"/>
        <v>50</v>
      </c>
      <c r="F17" s="44">
        <f t="shared" si="6"/>
        <v>70</v>
      </c>
      <c r="G17" s="44">
        <f t="shared" si="6"/>
        <v>92</v>
      </c>
      <c r="H17" s="44">
        <f t="shared" si="6"/>
        <v>30</v>
      </c>
      <c r="I17" s="44">
        <f t="shared" si="6"/>
        <v>102</v>
      </c>
      <c r="J17" s="44">
        <f t="shared" si="6"/>
        <v>74</v>
      </c>
      <c r="K17" s="44">
        <f t="shared" si="6"/>
        <v>59</v>
      </c>
      <c r="L17" s="45">
        <f t="shared" si="6"/>
        <v>31</v>
      </c>
      <c r="M17" s="44">
        <f t="shared" si="6"/>
        <v>44</v>
      </c>
      <c r="N17" s="44">
        <f t="shared" si="6"/>
        <v>31</v>
      </c>
      <c r="O17" s="44">
        <f t="shared" si="6"/>
        <v>89</v>
      </c>
      <c r="P17" s="44">
        <f t="shared" si="6"/>
        <v>85</v>
      </c>
      <c r="Q17" s="44">
        <f t="shared" si="6"/>
        <v>90</v>
      </c>
      <c r="R17" s="44">
        <f t="shared" si="6"/>
        <v>72</v>
      </c>
      <c r="S17" s="44">
        <f t="shared" si="6"/>
        <v>46</v>
      </c>
      <c r="T17" s="44">
        <f t="shared" si="6"/>
        <v>24</v>
      </c>
      <c r="U17" s="44">
        <f t="shared" si="6"/>
        <v>70</v>
      </c>
      <c r="V17" s="44">
        <f t="shared" si="6"/>
        <v>70</v>
      </c>
      <c r="W17" s="44">
        <f t="shared" si="6"/>
        <v>0</v>
      </c>
      <c r="X17" s="44">
        <f t="shared" si="6"/>
        <v>0</v>
      </c>
      <c r="Y17" s="44">
        <f t="shared" si="6"/>
        <v>0</v>
      </c>
      <c r="Z17" s="44">
        <f t="shared" si="6"/>
        <v>0</v>
      </c>
      <c r="AA17" s="44">
        <f t="shared" si="6"/>
        <v>0</v>
      </c>
      <c r="AB17" s="44">
        <f t="shared" si="6"/>
        <v>0</v>
      </c>
      <c r="AC17" s="45">
        <f t="shared" si="6"/>
        <v>0</v>
      </c>
      <c r="AD17" s="44">
        <f t="shared" si="6"/>
        <v>0</v>
      </c>
      <c r="AE17" s="44">
        <f t="shared" si="6"/>
        <v>0</v>
      </c>
      <c r="AF17" s="44">
        <f t="shared" si="6"/>
        <v>0</v>
      </c>
      <c r="AG17" s="44">
        <f t="shared" si="6"/>
        <v>0</v>
      </c>
      <c r="AH17" s="44">
        <f t="shared" si="6"/>
        <v>0</v>
      </c>
      <c r="AI17" s="44">
        <f t="shared" si="6"/>
        <v>0</v>
      </c>
      <c r="AJ17" s="44">
        <f t="shared" si="6"/>
        <v>0</v>
      </c>
      <c r="AK17" s="44">
        <f t="shared" si="6"/>
        <v>0</v>
      </c>
      <c r="AL17" s="46">
        <f t="shared" si="6"/>
        <v>0</v>
      </c>
      <c r="AM17" s="114"/>
      <c r="AN17" s="108"/>
      <c r="AO17" s="10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</row>
    <row r="18" spans="1:56" s="1" customFormat="1" ht="12.75" customHeight="1" x14ac:dyDescent="0.3">
      <c r="A18" s="128" t="str">
        <f>Drivers!AT16</f>
        <v>Sasko</v>
      </c>
      <c r="B18" s="49" t="str">
        <f>Drivers!AU16</f>
        <v>Bell</v>
      </c>
      <c r="C18" s="38">
        <f>Drivers!C20</f>
        <v>2</v>
      </c>
      <c r="D18" s="38">
        <f>Drivers!D20</f>
        <v>16</v>
      </c>
      <c r="E18" s="38">
        <f>Drivers!E20</f>
        <v>34</v>
      </c>
      <c r="F18" s="38">
        <f>Drivers!F20</f>
        <v>54</v>
      </c>
      <c r="G18" s="38">
        <f>Drivers!G20</f>
        <v>51</v>
      </c>
      <c r="H18" s="38">
        <f>Drivers!H20</f>
        <v>18</v>
      </c>
      <c r="I18" s="38">
        <f>Drivers!I20</f>
        <v>30</v>
      </c>
      <c r="J18" s="38">
        <f>Drivers!J20</f>
        <v>19</v>
      </c>
      <c r="K18" s="38">
        <f>Drivers!K20</f>
        <v>30</v>
      </c>
      <c r="L18" s="38">
        <f>Drivers!L20</f>
        <v>29</v>
      </c>
      <c r="M18" s="38">
        <f>Drivers!M20</f>
        <v>1</v>
      </c>
      <c r="N18" s="38">
        <f>Drivers!N20</f>
        <v>20</v>
      </c>
      <c r="O18" s="38">
        <f>Drivers!O20</f>
        <v>50</v>
      </c>
      <c r="P18" s="38">
        <f>Drivers!P20</f>
        <v>38</v>
      </c>
      <c r="Q18" s="38">
        <f>Drivers!Q20</f>
        <v>11</v>
      </c>
      <c r="R18" s="38">
        <f>Drivers!R20</f>
        <v>11</v>
      </c>
      <c r="S18" s="38">
        <f>Drivers!S20</f>
        <v>1</v>
      </c>
      <c r="T18" s="38">
        <f>Drivers!T20</f>
        <v>50</v>
      </c>
      <c r="U18" s="38">
        <f>Drivers!U20</f>
        <v>40</v>
      </c>
      <c r="V18" s="38">
        <f>Drivers!V20</f>
        <v>39</v>
      </c>
      <c r="W18" s="38">
        <f>Drivers!W20</f>
        <v>0</v>
      </c>
      <c r="X18" s="38">
        <f>Drivers!X20</f>
        <v>0</v>
      </c>
      <c r="Y18" s="38">
        <f>Drivers!Y20</f>
        <v>0</v>
      </c>
      <c r="Z18" s="38">
        <f>Drivers!Z20</f>
        <v>0</v>
      </c>
      <c r="AA18" s="38">
        <f>Drivers!AA20</f>
        <v>0</v>
      </c>
      <c r="AB18" s="38">
        <f>Drivers!AB20</f>
        <v>0</v>
      </c>
      <c r="AC18" s="38">
        <f>Drivers!AC20</f>
        <v>0</v>
      </c>
      <c r="AD18" s="38">
        <f>Drivers!AD20</f>
        <v>0</v>
      </c>
      <c r="AE18" s="38">
        <f>Drivers!AE20</f>
        <v>0</v>
      </c>
      <c r="AF18" s="38">
        <f>Drivers!AF20</f>
        <v>0</v>
      </c>
      <c r="AG18" s="38">
        <f>Drivers!AG20</f>
        <v>0</v>
      </c>
      <c r="AH18" s="38">
        <f>Drivers!AH20</f>
        <v>0</v>
      </c>
      <c r="AI18" s="38">
        <f>Drivers!AI20</f>
        <v>0</v>
      </c>
      <c r="AJ18" s="38">
        <f>Drivers!AJ20</f>
        <v>0</v>
      </c>
      <c r="AK18" s="38">
        <f>Drivers!AK20</f>
        <v>0</v>
      </c>
      <c r="AL18" s="38">
        <f>Drivers!AL20</f>
        <v>0</v>
      </c>
      <c r="AM18" s="113">
        <f>SUM(C20:AL20)</f>
        <v>761</v>
      </c>
      <c r="AN18" s="109">
        <f>RANK($AM$6:$AM$35,$AM$6:$AM$35,1&gt;10)</f>
        <v>7</v>
      </c>
      <c r="AO18" s="101">
        <f t="shared" ref="AO18" si="7">AVERAGE(C20:AL20)</f>
        <v>21.138888888888889</v>
      </c>
      <c r="AP18" s="2"/>
      <c r="AQ18" s="13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s="1" customFormat="1" ht="13" x14ac:dyDescent="0.3">
      <c r="A19" s="127"/>
      <c r="B19" s="49" t="str">
        <f>Drivers!AU17</f>
        <v>K. Busch</v>
      </c>
      <c r="C19" s="26">
        <f>Drivers!C11</f>
        <v>29</v>
      </c>
      <c r="D19" s="26">
        <f>Drivers!D11</f>
        <v>7</v>
      </c>
      <c r="E19" s="26">
        <f>Drivers!E11</f>
        <v>25</v>
      </c>
      <c r="F19" s="26">
        <f>Drivers!F11</f>
        <v>20</v>
      </c>
      <c r="G19" s="26">
        <f>Drivers!G11</f>
        <v>9</v>
      </c>
      <c r="H19" s="26">
        <f>Drivers!H11</f>
        <v>16</v>
      </c>
      <c r="I19" s="26">
        <f>Drivers!I11</f>
        <v>13</v>
      </c>
      <c r="J19" s="26">
        <f>Drivers!J11</f>
        <v>12</v>
      </c>
      <c r="K19" s="26">
        <f>Drivers!K11</f>
        <v>2</v>
      </c>
      <c r="L19" s="26">
        <f>Drivers!L11</f>
        <v>27</v>
      </c>
      <c r="M19" s="26">
        <f>Drivers!M11</f>
        <v>22</v>
      </c>
      <c r="N19" s="26">
        <f>Drivers!N11</f>
        <v>35</v>
      </c>
      <c r="O19" s="26">
        <f>Drivers!O11</f>
        <v>0</v>
      </c>
      <c r="P19" s="26">
        <f>Drivers!P11</f>
        <v>0</v>
      </c>
      <c r="Q19" s="26">
        <f>Drivers!Q11</f>
        <v>0</v>
      </c>
      <c r="R19" s="26">
        <f>Drivers!R11</f>
        <v>0</v>
      </c>
      <c r="S19" s="26">
        <f>Drivers!S11</f>
        <v>0</v>
      </c>
      <c r="T19" s="26">
        <f>Drivers!T11</f>
        <v>0</v>
      </c>
      <c r="U19" s="26">
        <f>Drivers!U11</f>
        <v>0</v>
      </c>
      <c r="V19" s="26">
        <f>Drivers!V11</f>
        <v>0</v>
      </c>
      <c r="W19" s="26">
        <f>Drivers!W11</f>
        <v>0</v>
      </c>
      <c r="X19" s="26">
        <f>Drivers!X11</f>
        <v>0</v>
      </c>
      <c r="Y19" s="26">
        <f>Drivers!Y11</f>
        <v>0</v>
      </c>
      <c r="Z19" s="26">
        <f>Drivers!Z11</f>
        <v>0</v>
      </c>
      <c r="AA19" s="26">
        <f>Drivers!AA11</f>
        <v>0</v>
      </c>
      <c r="AB19" s="26">
        <f>Drivers!AB11</f>
        <v>0</v>
      </c>
      <c r="AC19" s="26">
        <f>Drivers!AC11</f>
        <v>0</v>
      </c>
      <c r="AD19" s="26">
        <f>Drivers!AD11</f>
        <v>0</v>
      </c>
      <c r="AE19" s="26">
        <f>Drivers!AE11</f>
        <v>0</v>
      </c>
      <c r="AF19" s="26">
        <f>Drivers!AF11</f>
        <v>0</v>
      </c>
      <c r="AG19" s="26">
        <f>Drivers!AG11</f>
        <v>0</v>
      </c>
      <c r="AH19" s="26">
        <f>Drivers!AH11</f>
        <v>0</v>
      </c>
      <c r="AI19" s="26">
        <f>Drivers!AI11</f>
        <v>0</v>
      </c>
      <c r="AJ19" s="26">
        <f>Drivers!AJ11</f>
        <v>0</v>
      </c>
      <c r="AK19" s="26">
        <f>Drivers!AK11</f>
        <v>0</v>
      </c>
      <c r="AL19" s="26">
        <f>Drivers!AL11</f>
        <v>0</v>
      </c>
      <c r="AM19" s="112"/>
      <c r="AN19" s="105"/>
      <c r="AO19" s="102"/>
      <c r="AP19" s="2"/>
      <c r="AQ19" s="13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s="1" customFormat="1" ht="13.5" thickBot="1" x14ac:dyDescent="0.35">
      <c r="A20" s="129"/>
      <c r="B20" s="52"/>
      <c r="C20" s="44">
        <f>SUM(C18+C19)</f>
        <v>31</v>
      </c>
      <c r="D20" s="44">
        <f t="shared" ref="D20:AL20" si="8">SUM(D18+D19)</f>
        <v>23</v>
      </c>
      <c r="E20" s="44">
        <f t="shared" si="8"/>
        <v>59</v>
      </c>
      <c r="F20" s="44">
        <f t="shared" si="8"/>
        <v>74</v>
      </c>
      <c r="G20" s="44">
        <f t="shared" si="8"/>
        <v>60</v>
      </c>
      <c r="H20" s="44">
        <f t="shared" si="8"/>
        <v>34</v>
      </c>
      <c r="I20" s="44">
        <f t="shared" si="8"/>
        <v>43</v>
      </c>
      <c r="J20" s="44">
        <f t="shared" si="8"/>
        <v>31</v>
      </c>
      <c r="K20" s="44">
        <f t="shared" si="8"/>
        <v>32</v>
      </c>
      <c r="L20" s="45">
        <f t="shared" si="8"/>
        <v>56</v>
      </c>
      <c r="M20" s="44">
        <f t="shared" si="8"/>
        <v>23</v>
      </c>
      <c r="N20" s="44">
        <f t="shared" si="8"/>
        <v>55</v>
      </c>
      <c r="O20" s="44">
        <f t="shared" si="8"/>
        <v>50</v>
      </c>
      <c r="P20" s="44">
        <f t="shared" si="8"/>
        <v>38</v>
      </c>
      <c r="Q20" s="44">
        <f t="shared" si="8"/>
        <v>11</v>
      </c>
      <c r="R20" s="44">
        <f t="shared" si="8"/>
        <v>11</v>
      </c>
      <c r="S20" s="44">
        <f t="shared" si="8"/>
        <v>1</v>
      </c>
      <c r="T20" s="44">
        <f t="shared" si="8"/>
        <v>50</v>
      </c>
      <c r="U20" s="44">
        <f t="shared" si="8"/>
        <v>40</v>
      </c>
      <c r="V20" s="44">
        <f t="shared" si="8"/>
        <v>39</v>
      </c>
      <c r="W20" s="44">
        <f t="shared" si="8"/>
        <v>0</v>
      </c>
      <c r="X20" s="44">
        <f t="shared" si="8"/>
        <v>0</v>
      </c>
      <c r="Y20" s="44">
        <f t="shared" si="8"/>
        <v>0</v>
      </c>
      <c r="Z20" s="44">
        <f t="shared" si="8"/>
        <v>0</v>
      </c>
      <c r="AA20" s="44">
        <f t="shared" si="8"/>
        <v>0</v>
      </c>
      <c r="AB20" s="44">
        <f t="shared" si="8"/>
        <v>0</v>
      </c>
      <c r="AC20" s="45">
        <f t="shared" si="8"/>
        <v>0</v>
      </c>
      <c r="AD20" s="44">
        <f t="shared" si="8"/>
        <v>0</v>
      </c>
      <c r="AE20" s="44">
        <f t="shared" si="8"/>
        <v>0</v>
      </c>
      <c r="AF20" s="44">
        <f t="shared" si="8"/>
        <v>0</v>
      </c>
      <c r="AG20" s="44">
        <f t="shared" si="8"/>
        <v>0</v>
      </c>
      <c r="AH20" s="44">
        <f t="shared" si="8"/>
        <v>0</v>
      </c>
      <c r="AI20" s="44">
        <f t="shared" si="8"/>
        <v>0</v>
      </c>
      <c r="AJ20" s="44">
        <f t="shared" si="8"/>
        <v>0</v>
      </c>
      <c r="AK20" s="44">
        <f t="shared" si="8"/>
        <v>0</v>
      </c>
      <c r="AL20" s="46">
        <f t="shared" si="8"/>
        <v>0</v>
      </c>
      <c r="AM20" s="114"/>
      <c r="AN20" s="105"/>
      <c r="AO20" s="10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</row>
    <row r="21" spans="1:56" s="1" customFormat="1" ht="12.75" customHeight="1" x14ac:dyDescent="0.3">
      <c r="A21" s="128" t="str">
        <f>Drivers!AT19</f>
        <v>Kyle (1)</v>
      </c>
      <c r="B21" s="50" t="str">
        <f>Drivers!AU19</f>
        <v>Byron</v>
      </c>
      <c r="C21" s="38">
        <f>Drivers!C24</f>
        <v>25</v>
      </c>
      <c r="D21" s="38">
        <f>Drivers!D24</f>
        <v>25</v>
      </c>
      <c r="E21" s="38">
        <f>Drivers!E24</f>
        <v>26</v>
      </c>
      <c r="F21" s="38">
        <f>Drivers!F24</f>
        <v>32</v>
      </c>
      <c r="G21" s="38">
        <f>Drivers!G24</f>
        <v>49</v>
      </c>
      <c r="H21" s="38">
        <f>Drivers!H24</f>
        <v>34</v>
      </c>
      <c r="I21" s="38">
        <f>Drivers!I24</f>
        <v>47</v>
      </c>
      <c r="J21" s="38">
        <f>Drivers!J24</f>
        <v>7</v>
      </c>
      <c r="K21" s="38">
        <f>Drivers!K24</f>
        <v>30</v>
      </c>
      <c r="L21" s="38">
        <f>Drivers!L24</f>
        <v>2</v>
      </c>
      <c r="M21" s="38">
        <f>Drivers!M24</f>
        <v>31</v>
      </c>
      <c r="N21" s="38">
        <f>Drivers!N24</f>
        <v>1</v>
      </c>
      <c r="O21" s="38">
        <f>Drivers!O24</f>
        <v>28</v>
      </c>
      <c r="P21" s="38">
        <f>Drivers!P24</f>
        <v>15</v>
      </c>
      <c r="Q21" s="38">
        <f>Drivers!Q24</f>
        <v>25</v>
      </c>
      <c r="R21" s="38">
        <f>Drivers!R24</f>
        <v>38</v>
      </c>
      <c r="S21" s="38">
        <f>Drivers!S24</f>
        <v>6</v>
      </c>
      <c r="T21" s="38">
        <f>Drivers!T24</f>
        <v>25</v>
      </c>
      <c r="U21" s="38">
        <f>Drivers!U24</f>
        <v>53</v>
      </c>
      <c r="V21" s="38">
        <f>Drivers!V24</f>
        <v>21</v>
      </c>
      <c r="W21" s="38">
        <f>Drivers!W24</f>
        <v>0</v>
      </c>
      <c r="X21" s="38">
        <f>Drivers!X24</f>
        <v>0</v>
      </c>
      <c r="Y21" s="38">
        <f>Drivers!Y24</f>
        <v>0</v>
      </c>
      <c r="Z21" s="38">
        <f>Drivers!Z24</f>
        <v>0</v>
      </c>
      <c r="AA21" s="38">
        <f>Drivers!AA24</f>
        <v>0</v>
      </c>
      <c r="AB21" s="38">
        <f>Drivers!AB24</f>
        <v>0</v>
      </c>
      <c r="AC21" s="38">
        <f>Drivers!AC24</f>
        <v>0</v>
      </c>
      <c r="AD21" s="38">
        <f>Drivers!AD24</f>
        <v>0</v>
      </c>
      <c r="AE21" s="38">
        <f>Drivers!AE24</f>
        <v>0</v>
      </c>
      <c r="AF21" s="38">
        <f>Drivers!AF24</f>
        <v>0</v>
      </c>
      <c r="AG21" s="38">
        <f>Drivers!AG24</f>
        <v>0</v>
      </c>
      <c r="AH21" s="38">
        <f>Drivers!AH24</f>
        <v>0</v>
      </c>
      <c r="AI21" s="38">
        <f>Drivers!AI24</f>
        <v>0</v>
      </c>
      <c r="AJ21" s="38">
        <f>Drivers!AJ24</f>
        <v>0</v>
      </c>
      <c r="AK21" s="38">
        <f>Drivers!AK24</f>
        <v>0</v>
      </c>
      <c r="AL21" s="38">
        <f>Drivers!AL24</f>
        <v>0</v>
      </c>
      <c r="AM21" s="113">
        <f>SUM(C23:AL23)</f>
        <v>1048</v>
      </c>
      <c r="AN21" s="107">
        <f>RANK($AM$6:$AM$35,$AM$6:$AM$35,1&gt;10)</f>
        <v>5</v>
      </c>
      <c r="AO21" s="101">
        <f t="shared" ref="AO21" si="9">AVERAGE(C23:AL23)</f>
        <v>29.111111111111111</v>
      </c>
      <c r="AP21" s="2"/>
      <c r="AQ21" s="13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s="1" customFormat="1" ht="13" x14ac:dyDescent="0.3">
      <c r="A22" s="127"/>
      <c r="B22" s="78" t="str">
        <f>Drivers!AU20</f>
        <v>Gibbs</v>
      </c>
      <c r="C22" s="26">
        <f>Drivers!C36</f>
        <v>3</v>
      </c>
      <c r="D22" s="26">
        <f>Drivers!D36</f>
        <v>14</v>
      </c>
      <c r="E22" s="26">
        <f>Drivers!E36</f>
        <v>5</v>
      </c>
      <c r="F22" s="26">
        <f>Drivers!F36</f>
        <v>0</v>
      </c>
      <c r="G22" s="26">
        <f>Drivers!G39</f>
        <v>39</v>
      </c>
      <c r="H22" s="26">
        <f>Drivers!H39</f>
        <v>33</v>
      </c>
      <c r="I22" s="26">
        <f>Drivers!I39</f>
        <v>49</v>
      </c>
      <c r="J22" s="26">
        <f>Drivers!J36</f>
        <v>1</v>
      </c>
      <c r="K22" s="26">
        <f>Drivers!K39</f>
        <v>38</v>
      </c>
      <c r="L22" s="26">
        <f>Drivers!L39</f>
        <v>3</v>
      </c>
      <c r="M22" s="26">
        <f>Drivers!M39</f>
        <v>8</v>
      </c>
      <c r="N22" s="26">
        <f>Drivers!N39</f>
        <v>42</v>
      </c>
      <c r="O22" s="26">
        <f>Drivers!O39</f>
        <v>53</v>
      </c>
      <c r="P22" s="26">
        <f>Drivers!P39</f>
        <v>24</v>
      </c>
      <c r="Q22" s="26">
        <f>Drivers!Q39</f>
        <v>21</v>
      </c>
      <c r="R22" s="26">
        <f>Drivers!R39</f>
        <v>36</v>
      </c>
      <c r="S22" s="26">
        <f>Drivers!S39</f>
        <v>29</v>
      </c>
      <c r="T22" s="26">
        <f>Drivers!T39</f>
        <v>54</v>
      </c>
      <c r="U22" s="26">
        <f>Drivers!U39</f>
        <v>38</v>
      </c>
      <c r="V22" s="26">
        <f>Drivers!V39</f>
        <v>38</v>
      </c>
      <c r="W22" s="26">
        <f>Drivers!W39</f>
        <v>0</v>
      </c>
      <c r="X22" s="26">
        <f>Drivers!X39</f>
        <v>0</v>
      </c>
      <c r="Y22" s="26">
        <f>Drivers!Y39</f>
        <v>0</v>
      </c>
      <c r="Z22" s="26">
        <f>Drivers!Z39</f>
        <v>0</v>
      </c>
      <c r="AA22" s="26">
        <f>Drivers!AA39</f>
        <v>0</v>
      </c>
      <c r="AB22" s="26">
        <f>Drivers!AB39</f>
        <v>0</v>
      </c>
      <c r="AC22" s="26">
        <f>Drivers!AC39</f>
        <v>0</v>
      </c>
      <c r="AD22" s="26">
        <f>Drivers!AD39</f>
        <v>0</v>
      </c>
      <c r="AE22" s="26">
        <f>Drivers!AE39</f>
        <v>0</v>
      </c>
      <c r="AF22" s="26">
        <f>Drivers!AF39</f>
        <v>0</v>
      </c>
      <c r="AG22" s="26">
        <f>Drivers!AG39</f>
        <v>0</v>
      </c>
      <c r="AH22" s="26">
        <f>Drivers!AH39</f>
        <v>0</v>
      </c>
      <c r="AI22" s="26">
        <f>Drivers!AI39</f>
        <v>0</v>
      </c>
      <c r="AJ22" s="26">
        <f>Drivers!AJ39</f>
        <v>0</v>
      </c>
      <c r="AK22" s="26">
        <f>Drivers!AK39</f>
        <v>0</v>
      </c>
      <c r="AL22" s="26">
        <f>Drivers!AL39</f>
        <v>0</v>
      </c>
      <c r="AM22" s="112"/>
      <c r="AN22" s="105"/>
      <c r="AO22" s="102"/>
      <c r="AP22" s="2"/>
      <c r="AQ22" s="13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s="1" customFormat="1" ht="13.5" thickBot="1" x14ac:dyDescent="0.35">
      <c r="A23" s="129"/>
      <c r="B23" s="51"/>
      <c r="C23" s="44">
        <f>SUM(C21+C22)</f>
        <v>28</v>
      </c>
      <c r="D23" s="44">
        <f t="shared" ref="D23:AL23" si="10">SUM(D21+D22)</f>
        <v>39</v>
      </c>
      <c r="E23" s="44">
        <f t="shared" si="10"/>
        <v>31</v>
      </c>
      <c r="F23" s="44">
        <f t="shared" si="10"/>
        <v>32</v>
      </c>
      <c r="G23" s="44">
        <f t="shared" si="10"/>
        <v>88</v>
      </c>
      <c r="H23" s="44">
        <f t="shared" si="10"/>
        <v>67</v>
      </c>
      <c r="I23" s="44">
        <f t="shared" si="10"/>
        <v>96</v>
      </c>
      <c r="J23" s="44">
        <f t="shared" si="10"/>
        <v>8</v>
      </c>
      <c r="K23" s="44">
        <f t="shared" si="10"/>
        <v>68</v>
      </c>
      <c r="L23" s="45">
        <f t="shared" si="10"/>
        <v>5</v>
      </c>
      <c r="M23" s="44">
        <f t="shared" si="10"/>
        <v>39</v>
      </c>
      <c r="N23" s="44">
        <f t="shared" si="10"/>
        <v>43</v>
      </c>
      <c r="O23" s="44">
        <f t="shared" si="10"/>
        <v>81</v>
      </c>
      <c r="P23" s="44">
        <f t="shared" si="10"/>
        <v>39</v>
      </c>
      <c r="Q23" s="44">
        <f t="shared" si="10"/>
        <v>46</v>
      </c>
      <c r="R23" s="44">
        <f t="shared" si="10"/>
        <v>74</v>
      </c>
      <c r="S23" s="44">
        <f t="shared" si="10"/>
        <v>35</v>
      </c>
      <c r="T23" s="44">
        <f t="shared" si="10"/>
        <v>79</v>
      </c>
      <c r="U23" s="44">
        <f t="shared" si="10"/>
        <v>91</v>
      </c>
      <c r="V23" s="44">
        <f t="shared" si="10"/>
        <v>59</v>
      </c>
      <c r="W23" s="44">
        <f t="shared" si="10"/>
        <v>0</v>
      </c>
      <c r="X23" s="44">
        <f t="shared" si="10"/>
        <v>0</v>
      </c>
      <c r="Y23" s="44">
        <f t="shared" si="10"/>
        <v>0</v>
      </c>
      <c r="Z23" s="44">
        <f t="shared" si="10"/>
        <v>0</v>
      </c>
      <c r="AA23" s="44">
        <f t="shared" si="10"/>
        <v>0</v>
      </c>
      <c r="AB23" s="44">
        <f t="shared" si="10"/>
        <v>0</v>
      </c>
      <c r="AC23" s="45">
        <f t="shared" si="10"/>
        <v>0</v>
      </c>
      <c r="AD23" s="44">
        <f t="shared" si="10"/>
        <v>0</v>
      </c>
      <c r="AE23" s="44">
        <f t="shared" si="10"/>
        <v>0</v>
      </c>
      <c r="AF23" s="44">
        <f t="shared" si="10"/>
        <v>0</v>
      </c>
      <c r="AG23" s="44">
        <f t="shared" si="10"/>
        <v>0</v>
      </c>
      <c r="AH23" s="44">
        <f t="shared" si="10"/>
        <v>0</v>
      </c>
      <c r="AI23" s="44">
        <f t="shared" si="10"/>
        <v>0</v>
      </c>
      <c r="AJ23" s="44">
        <f t="shared" si="10"/>
        <v>0</v>
      </c>
      <c r="AK23" s="44">
        <f t="shared" si="10"/>
        <v>0</v>
      </c>
      <c r="AL23" s="46">
        <f t="shared" si="10"/>
        <v>0</v>
      </c>
      <c r="AM23" s="114"/>
      <c r="AN23" s="108"/>
      <c r="AO23" s="10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</row>
    <row r="24" spans="1:56" s="1" customFormat="1" ht="12.75" customHeight="1" x14ac:dyDescent="0.3">
      <c r="A24" s="128" t="str">
        <f>Drivers!AT22</f>
        <v>Burrey (2)</v>
      </c>
      <c r="B24" s="50" t="str">
        <f>Drivers!AU22</f>
        <v>Blaney</v>
      </c>
      <c r="C24" s="38">
        <f>Drivers!C15</f>
        <v>27</v>
      </c>
      <c r="D24" s="38">
        <f>Drivers!D15</f>
        <v>31</v>
      </c>
      <c r="E24" s="38">
        <f>Drivers!E15</f>
        <v>33</v>
      </c>
      <c r="F24" s="38">
        <f>Drivers!F15</f>
        <v>65</v>
      </c>
      <c r="G24" s="38">
        <f>Drivers!G15</f>
        <v>23</v>
      </c>
      <c r="H24" s="38">
        <f>Drivers!H15</f>
        <v>42</v>
      </c>
      <c r="I24" s="38">
        <f>Drivers!I15</f>
        <v>41</v>
      </c>
      <c r="J24" s="38">
        <f>Drivers!J15</f>
        <v>53</v>
      </c>
      <c r="K24" s="38">
        <f>Drivers!K15</f>
        <v>13</v>
      </c>
      <c r="L24" s="38">
        <f>Drivers!L15</f>
        <v>7</v>
      </c>
      <c r="M24" s="38">
        <f>Drivers!M15</f>
        <v>27</v>
      </c>
      <c r="N24" s="38">
        <f>Drivers!N15</f>
        <v>34</v>
      </c>
      <c r="O24" s="38">
        <f>Drivers!O15</f>
        <v>41</v>
      </c>
      <c r="P24" s="38">
        <f>Drivers!P15</f>
        <v>37</v>
      </c>
      <c r="Q24" s="38">
        <f>Drivers!Q15</f>
        <v>29</v>
      </c>
      <c r="R24" s="38">
        <f>Drivers!R15</f>
        <v>27</v>
      </c>
      <c r="S24" s="38">
        <f>Drivers!S15</f>
        <v>44</v>
      </c>
      <c r="T24" s="38">
        <f>Drivers!T15</f>
        <v>32</v>
      </c>
      <c r="U24" s="38">
        <f>Drivers!U15</f>
        <v>36</v>
      </c>
      <c r="V24" s="38">
        <f>Drivers!V15</f>
        <v>75</v>
      </c>
      <c r="W24" s="38">
        <f>Drivers!W15</f>
        <v>0</v>
      </c>
      <c r="X24" s="38">
        <f>Drivers!X15</f>
        <v>0</v>
      </c>
      <c r="Y24" s="38">
        <f>Drivers!Y15</f>
        <v>0</v>
      </c>
      <c r="Z24" s="38">
        <f>Drivers!Z15</f>
        <v>0</v>
      </c>
      <c r="AA24" s="38">
        <f>Drivers!AA15</f>
        <v>0</v>
      </c>
      <c r="AB24" s="38">
        <f>Drivers!AB15</f>
        <v>0</v>
      </c>
      <c r="AC24" s="38">
        <f>Drivers!AC15</f>
        <v>0</v>
      </c>
      <c r="AD24" s="38">
        <f>Drivers!AD15</f>
        <v>0</v>
      </c>
      <c r="AE24" s="38">
        <f>Drivers!AE15</f>
        <v>0</v>
      </c>
      <c r="AF24" s="38">
        <f>Drivers!AF15</f>
        <v>0</v>
      </c>
      <c r="AG24" s="38">
        <f>Drivers!AG15</f>
        <v>0</v>
      </c>
      <c r="AH24" s="38">
        <f>Drivers!AH15</f>
        <v>0</v>
      </c>
      <c r="AI24" s="38">
        <f>Drivers!AI15</f>
        <v>0</v>
      </c>
      <c r="AJ24" s="38">
        <f>Drivers!AJ15</f>
        <v>0</v>
      </c>
      <c r="AK24" s="38">
        <f>Drivers!AK15</f>
        <v>0</v>
      </c>
      <c r="AL24" s="38">
        <f>Drivers!AL15</f>
        <v>0</v>
      </c>
      <c r="AM24" s="111">
        <f>SUM(C26:AL26)</f>
        <v>1155</v>
      </c>
      <c r="AN24" s="109">
        <f>RANK($AM$6:$AM$35,$AM$6:$AM$35,1&gt;10)</f>
        <v>3</v>
      </c>
      <c r="AO24" s="101">
        <f t="shared" ref="AO24" si="11">AVERAGE(C26:AL26)</f>
        <v>32.083333333333336</v>
      </c>
      <c r="AP24" s="2"/>
      <c r="AQ24" s="13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s="1" customFormat="1" ht="13" x14ac:dyDescent="0.3">
      <c r="A25" s="127"/>
      <c r="B25" s="79" t="str">
        <f>Drivers!AU23</f>
        <v>Hosevar</v>
      </c>
      <c r="C25" s="26">
        <f>Drivers!C4</f>
        <v>17</v>
      </c>
      <c r="D25" s="26">
        <f>Drivers!D4</f>
        <v>34</v>
      </c>
      <c r="E25" s="26">
        <f>Drivers!E4</f>
        <v>13</v>
      </c>
      <c r="F25" s="26">
        <f>Drivers!F4</f>
        <v>10</v>
      </c>
      <c r="G25" s="26">
        <f>Drivers!G23</f>
        <v>41</v>
      </c>
      <c r="H25" s="26">
        <f>Drivers!H23</f>
        <v>10</v>
      </c>
      <c r="I25" s="26">
        <f>Drivers!I23</f>
        <v>1</v>
      </c>
      <c r="J25" s="26">
        <f>Drivers!J23</f>
        <v>30</v>
      </c>
      <c r="K25" s="26">
        <f>Drivers!K23</f>
        <v>39</v>
      </c>
      <c r="L25" s="26">
        <f>Drivers!L23</f>
        <v>1</v>
      </c>
      <c r="M25" s="26">
        <f>Drivers!M23</f>
        <v>28</v>
      </c>
      <c r="N25" s="26">
        <f>Drivers!N23</f>
        <v>9</v>
      </c>
      <c r="O25" s="26">
        <f>Drivers!O23</f>
        <v>15</v>
      </c>
      <c r="P25" s="26">
        <f>Drivers!P23</f>
        <v>10</v>
      </c>
      <c r="Q25" s="26">
        <f>Drivers!Q42</f>
        <v>45</v>
      </c>
      <c r="R25" s="26">
        <f>Drivers!R42</f>
        <v>21</v>
      </c>
      <c r="S25" s="26">
        <f>Drivers!S42</f>
        <v>27</v>
      </c>
      <c r="T25" s="26">
        <f>Drivers!T42</f>
        <v>33</v>
      </c>
      <c r="U25" s="26">
        <f>Drivers!U42</f>
        <v>15</v>
      </c>
      <c r="V25" s="26">
        <f>Drivers!V42</f>
        <v>39</v>
      </c>
      <c r="W25" s="26">
        <f>Drivers!W42</f>
        <v>0</v>
      </c>
      <c r="X25" s="26">
        <f>Drivers!X42</f>
        <v>0</v>
      </c>
      <c r="Y25" s="26">
        <f>Drivers!Y42</f>
        <v>0</v>
      </c>
      <c r="Z25" s="26">
        <f>Drivers!Z42</f>
        <v>0</v>
      </c>
      <c r="AA25" s="26">
        <f>Drivers!AA42</f>
        <v>0</v>
      </c>
      <c r="AB25" s="26">
        <f>Drivers!AB42</f>
        <v>0</v>
      </c>
      <c r="AC25" s="26">
        <f>Drivers!AC42</f>
        <v>0</v>
      </c>
      <c r="AD25" s="26">
        <f>Drivers!AD42</f>
        <v>0</v>
      </c>
      <c r="AE25" s="26">
        <f>Drivers!AE42</f>
        <v>0</v>
      </c>
      <c r="AF25" s="26">
        <f>Drivers!AF42</f>
        <v>0</v>
      </c>
      <c r="AG25" s="26">
        <f>Drivers!AG42</f>
        <v>0</v>
      </c>
      <c r="AH25" s="26">
        <f>Drivers!AH42</f>
        <v>0</v>
      </c>
      <c r="AI25" s="26">
        <f>Drivers!AI42</f>
        <v>0</v>
      </c>
      <c r="AJ25" s="26">
        <f>Drivers!AJ42</f>
        <v>0</v>
      </c>
      <c r="AK25" s="26">
        <f>Drivers!AK42</f>
        <v>0</v>
      </c>
      <c r="AL25" s="26">
        <f>Drivers!AL42</f>
        <v>0</v>
      </c>
      <c r="AM25" s="112"/>
      <c r="AN25" s="105"/>
      <c r="AO25" s="102"/>
      <c r="AP25" s="2"/>
      <c r="AQ25" s="13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s="1" customFormat="1" ht="13.5" thickBot="1" x14ac:dyDescent="0.35">
      <c r="A26" s="129"/>
      <c r="B26" s="52"/>
      <c r="C26" s="44">
        <f>SUM(C24+C25)</f>
        <v>44</v>
      </c>
      <c r="D26" s="44">
        <f t="shared" ref="D26:AL26" si="12">SUM(D24+D25)</f>
        <v>65</v>
      </c>
      <c r="E26" s="44">
        <f t="shared" si="12"/>
        <v>46</v>
      </c>
      <c r="F26" s="44">
        <f t="shared" si="12"/>
        <v>75</v>
      </c>
      <c r="G26" s="44">
        <f t="shared" si="12"/>
        <v>64</v>
      </c>
      <c r="H26" s="44">
        <f t="shared" si="12"/>
        <v>52</v>
      </c>
      <c r="I26" s="44">
        <f t="shared" si="12"/>
        <v>42</v>
      </c>
      <c r="J26" s="44">
        <f t="shared" si="12"/>
        <v>83</v>
      </c>
      <c r="K26" s="44">
        <f t="shared" si="12"/>
        <v>52</v>
      </c>
      <c r="L26" s="45">
        <f t="shared" si="12"/>
        <v>8</v>
      </c>
      <c r="M26" s="44">
        <f t="shared" si="12"/>
        <v>55</v>
      </c>
      <c r="N26" s="44">
        <f t="shared" si="12"/>
        <v>43</v>
      </c>
      <c r="O26" s="44">
        <f t="shared" si="12"/>
        <v>56</v>
      </c>
      <c r="P26" s="44">
        <f t="shared" si="12"/>
        <v>47</v>
      </c>
      <c r="Q26" s="44">
        <f t="shared" si="12"/>
        <v>74</v>
      </c>
      <c r="R26" s="44">
        <f t="shared" si="12"/>
        <v>48</v>
      </c>
      <c r="S26" s="44">
        <f t="shared" si="12"/>
        <v>71</v>
      </c>
      <c r="T26" s="44">
        <f t="shared" si="12"/>
        <v>65</v>
      </c>
      <c r="U26" s="44">
        <f t="shared" si="12"/>
        <v>51</v>
      </c>
      <c r="V26" s="44">
        <f t="shared" si="12"/>
        <v>114</v>
      </c>
      <c r="W26" s="44">
        <f t="shared" si="12"/>
        <v>0</v>
      </c>
      <c r="X26" s="44">
        <f t="shared" si="12"/>
        <v>0</v>
      </c>
      <c r="Y26" s="44">
        <f t="shared" si="12"/>
        <v>0</v>
      </c>
      <c r="Z26" s="44">
        <f t="shared" si="12"/>
        <v>0</v>
      </c>
      <c r="AA26" s="44">
        <f t="shared" si="12"/>
        <v>0</v>
      </c>
      <c r="AB26" s="44">
        <f t="shared" si="12"/>
        <v>0</v>
      </c>
      <c r="AC26" s="45">
        <f t="shared" si="12"/>
        <v>0</v>
      </c>
      <c r="AD26" s="44">
        <f t="shared" si="12"/>
        <v>0</v>
      </c>
      <c r="AE26" s="44">
        <f t="shared" si="12"/>
        <v>0</v>
      </c>
      <c r="AF26" s="44">
        <f t="shared" si="12"/>
        <v>0</v>
      </c>
      <c r="AG26" s="44">
        <f t="shared" si="12"/>
        <v>0</v>
      </c>
      <c r="AH26" s="44">
        <f t="shared" si="12"/>
        <v>0</v>
      </c>
      <c r="AI26" s="44">
        <f t="shared" si="12"/>
        <v>0</v>
      </c>
      <c r="AJ26" s="44">
        <f t="shared" si="12"/>
        <v>0</v>
      </c>
      <c r="AK26" s="44">
        <f t="shared" si="12"/>
        <v>0</v>
      </c>
      <c r="AL26" s="46">
        <f t="shared" si="12"/>
        <v>0</v>
      </c>
      <c r="AM26" s="112"/>
      <c r="AN26" s="105"/>
      <c r="AO26" s="10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</row>
    <row r="27" spans="1:56" s="1" customFormat="1" ht="12.75" customHeight="1" x14ac:dyDescent="0.3">
      <c r="A27" s="128">
        <f>Drivers!AT25</f>
        <v>8</v>
      </c>
      <c r="B27" s="53" t="str">
        <f>Drivers!AU25</f>
        <v>A</v>
      </c>
      <c r="C27" s="38"/>
      <c r="D27" s="38"/>
      <c r="E27" s="38"/>
      <c r="F27" s="38"/>
      <c r="G27" s="38"/>
      <c r="H27" s="38"/>
      <c r="I27" s="38"/>
      <c r="J27" s="38"/>
      <c r="K27" s="38"/>
      <c r="L27" s="39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9"/>
      <c r="AD27" s="58"/>
      <c r="AE27" s="58"/>
      <c r="AF27" s="60"/>
      <c r="AG27" s="60"/>
      <c r="AH27" s="60"/>
      <c r="AI27" s="60"/>
      <c r="AJ27" s="58"/>
      <c r="AK27" s="58"/>
      <c r="AL27" s="43"/>
      <c r="AM27" s="113">
        <f>SUM(C29:AL29)</f>
        <v>0</v>
      </c>
      <c r="AN27" s="107">
        <f>RANK($AM$6:$AM$35,$AM$6:$AM$35,1&gt;10)</f>
        <v>8</v>
      </c>
      <c r="AO27" s="101">
        <f t="shared" ref="AO27" si="13">AVERAGE(C29:AL29)</f>
        <v>0</v>
      </c>
      <c r="AP27" s="2"/>
      <c r="AQ27" s="13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s="1" customFormat="1" ht="13" x14ac:dyDescent="0.3">
      <c r="A28" s="127"/>
      <c r="B28" s="49" t="str">
        <f>Drivers!AU26</f>
        <v>B</v>
      </c>
      <c r="C28" s="26"/>
      <c r="D28" s="26"/>
      <c r="E28" s="26"/>
      <c r="F28" s="26"/>
      <c r="G28" s="26"/>
      <c r="H28" s="26"/>
      <c r="I28" s="26"/>
      <c r="J28" s="26"/>
      <c r="K28" s="26"/>
      <c r="L28" s="28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6"/>
      <c r="AD28" s="55"/>
      <c r="AE28" s="55"/>
      <c r="AF28" s="57"/>
      <c r="AG28" s="57"/>
      <c r="AH28" s="57"/>
      <c r="AI28" s="57"/>
      <c r="AJ28" s="55"/>
      <c r="AK28" s="55"/>
      <c r="AL28" s="30"/>
      <c r="AM28" s="112"/>
      <c r="AN28" s="105"/>
      <c r="AO28" s="102"/>
      <c r="AP28" s="2"/>
      <c r="AQ28" s="13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s="1" customFormat="1" ht="13.5" thickBot="1" x14ac:dyDescent="0.35">
      <c r="A29" s="129"/>
      <c r="B29" s="52"/>
      <c r="C29" s="44">
        <f>SUM(C27+C28)</f>
        <v>0</v>
      </c>
      <c r="D29" s="44">
        <f t="shared" ref="D29:AL29" si="14">SUM(D27+D28)</f>
        <v>0</v>
      </c>
      <c r="E29" s="44">
        <f t="shared" si="14"/>
        <v>0</v>
      </c>
      <c r="F29" s="44">
        <f t="shared" si="14"/>
        <v>0</v>
      </c>
      <c r="G29" s="44">
        <f t="shared" si="14"/>
        <v>0</v>
      </c>
      <c r="H29" s="44">
        <f t="shared" si="14"/>
        <v>0</v>
      </c>
      <c r="I29" s="44">
        <f t="shared" si="14"/>
        <v>0</v>
      </c>
      <c r="J29" s="44">
        <f t="shared" si="14"/>
        <v>0</v>
      </c>
      <c r="K29" s="44">
        <f t="shared" si="14"/>
        <v>0</v>
      </c>
      <c r="L29" s="45">
        <f t="shared" si="14"/>
        <v>0</v>
      </c>
      <c r="M29" s="44">
        <f t="shared" si="14"/>
        <v>0</v>
      </c>
      <c r="N29" s="44">
        <f t="shared" si="14"/>
        <v>0</v>
      </c>
      <c r="O29" s="44">
        <f t="shared" si="14"/>
        <v>0</v>
      </c>
      <c r="P29" s="44">
        <f t="shared" si="14"/>
        <v>0</v>
      </c>
      <c r="Q29" s="44">
        <f t="shared" si="14"/>
        <v>0</v>
      </c>
      <c r="R29" s="44">
        <f t="shared" si="14"/>
        <v>0</v>
      </c>
      <c r="S29" s="44">
        <f t="shared" si="14"/>
        <v>0</v>
      </c>
      <c r="T29" s="44">
        <f t="shared" si="14"/>
        <v>0</v>
      </c>
      <c r="U29" s="44">
        <f t="shared" si="14"/>
        <v>0</v>
      </c>
      <c r="V29" s="44">
        <f t="shared" si="14"/>
        <v>0</v>
      </c>
      <c r="W29" s="44">
        <f t="shared" si="14"/>
        <v>0</v>
      </c>
      <c r="X29" s="44">
        <f t="shared" si="14"/>
        <v>0</v>
      </c>
      <c r="Y29" s="44">
        <f t="shared" si="14"/>
        <v>0</v>
      </c>
      <c r="Z29" s="44">
        <f t="shared" si="14"/>
        <v>0</v>
      </c>
      <c r="AA29" s="44">
        <f t="shared" si="14"/>
        <v>0</v>
      </c>
      <c r="AB29" s="44">
        <f t="shared" si="14"/>
        <v>0</v>
      </c>
      <c r="AC29" s="45">
        <f t="shared" si="14"/>
        <v>0</v>
      </c>
      <c r="AD29" s="44">
        <f t="shared" si="14"/>
        <v>0</v>
      </c>
      <c r="AE29" s="44">
        <f t="shared" si="14"/>
        <v>0</v>
      </c>
      <c r="AF29" s="44">
        <f t="shared" si="14"/>
        <v>0</v>
      </c>
      <c r="AG29" s="44">
        <f t="shared" si="14"/>
        <v>0</v>
      </c>
      <c r="AH29" s="44">
        <f t="shared" si="14"/>
        <v>0</v>
      </c>
      <c r="AI29" s="44">
        <f t="shared" si="14"/>
        <v>0</v>
      </c>
      <c r="AJ29" s="44">
        <f t="shared" si="14"/>
        <v>0</v>
      </c>
      <c r="AK29" s="44">
        <f t="shared" si="14"/>
        <v>0</v>
      </c>
      <c r="AL29" s="46">
        <f t="shared" si="14"/>
        <v>0</v>
      </c>
      <c r="AM29" s="112"/>
      <c r="AN29" s="108"/>
      <c r="AO29" s="10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</row>
    <row r="30" spans="1:56" s="1" customFormat="1" ht="12.75" customHeight="1" x14ac:dyDescent="0.3">
      <c r="A30" s="126">
        <f>Drivers!AT28</f>
        <v>9</v>
      </c>
      <c r="B30" s="50" t="str">
        <f>Drivers!AU28</f>
        <v>A</v>
      </c>
      <c r="C30" s="38"/>
      <c r="D30" s="38"/>
      <c r="E30" s="38"/>
      <c r="F30" s="38"/>
      <c r="G30" s="38"/>
      <c r="H30" s="38"/>
      <c r="I30" s="38"/>
      <c r="J30" s="38"/>
      <c r="K30" s="38"/>
      <c r="L30" s="39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1"/>
      <c r="AD30" s="40"/>
      <c r="AE30" s="40"/>
      <c r="AF30" s="42"/>
      <c r="AG30" s="42"/>
      <c r="AH30" s="42"/>
      <c r="AI30" s="42"/>
      <c r="AJ30" s="40"/>
      <c r="AK30" s="40"/>
      <c r="AL30" s="43"/>
      <c r="AM30" s="113">
        <f>SUM(C32:AL32)</f>
        <v>0</v>
      </c>
      <c r="AN30" s="107">
        <f>RANK($AM$6:$AM$35,$AM$6:$AM$35,1&gt;10)</f>
        <v>8</v>
      </c>
      <c r="AO30" s="101">
        <f t="shared" ref="AO30" si="15">AVERAGE(C32:AL32)</f>
        <v>0</v>
      </c>
      <c r="AP30" s="2"/>
      <c r="AQ30" s="13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s="1" customFormat="1" ht="13" x14ac:dyDescent="0.3">
      <c r="A31" s="127"/>
      <c r="B31" s="49" t="str">
        <f>Drivers!AU29</f>
        <v>B</v>
      </c>
      <c r="C31" s="26"/>
      <c r="D31" s="26"/>
      <c r="E31" s="26"/>
      <c r="F31" s="26"/>
      <c r="G31" s="26"/>
      <c r="H31" s="26"/>
      <c r="I31" s="26"/>
      <c r="J31" s="26"/>
      <c r="K31" s="26"/>
      <c r="L31" s="28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1"/>
      <c r="AD31" s="33"/>
      <c r="AE31" s="33"/>
      <c r="AF31" s="34"/>
      <c r="AG31" s="34"/>
      <c r="AH31" s="34"/>
      <c r="AI31" s="34"/>
      <c r="AJ31" s="33"/>
      <c r="AK31" s="33"/>
      <c r="AL31" s="30"/>
      <c r="AM31" s="112"/>
      <c r="AN31" s="105"/>
      <c r="AO31" s="102"/>
      <c r="AP31" s="2"/>
      <c r="AQ31" s="13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s="1" customFormat="1" ht="13" x14ac:dyDescent="0.3">
      <c r="A32" s="127"/>
      <c r="B32" s="52"/>
      <c r="C32" s="44">
        <f>SUM(C30+C31)</f>
        <v>0</v>
      </c>
      <c r="D32" s="44">
        <f t="shared" ref="D32:AL32" si="16">SUM(D30+D31)</f>
        <v>0</v>
      </c>
      <c r="E32" s="44">
        <f t="shared" si="16"/>
        <v>0</v>
      </c>
      <c r="F32" s="44">
        <f t="shared" si="16"/>
        <v>0</v>
      </c>
      <c r="G32" s="44">
        <f t="shared" si="16"/>
        <v>0</v>
      </c>
      <c r="H32" s="44">
        <f t="shared" si="16"/>
        <v>0</v>
      </c>
      <c r="I32" s="44">
        <f t="shared" si="16"/>
        <v>0</v>
      </c>
      <c r="J32" s="44">
        <f t="shared" si="16"/>
        <v>0</v>
      </c>
      <c r="K32" s="44">
        <f t="shared" si="16"/>
        <v>0</v>
      </c>
      <c r="L32" s="45">
        <f t="shared" si="16"/>
        <v>0</v>
      </c>
      <c r="M32" s="44">
        <f t="shared" si="16"/>
        <v>0</v>
      </c>
      <c r="N32" s="44">
        <f t="shared" si="16"/>
        <v>0</v>
      </c>
      <c r="O32" s="44">
        <f t="shared" si="16"/>
        <v>0</v>
      </c>
      <c r="P32" s="44">
        <f t="shared" si="16"/>
        <v>0</v>
      </c>
      <c r="Q32" s="44">
        <f t="shared" si="16"/>
        <v>0</v>
      </c>
      <c r="R32" s="44">
        <f t="shared" si="16"/>
        <v>0</v>
      </c>
      <c r="S32" s="44">
        <f t="shared" si="16"/>
        <v>0</v>
      </c>
      <c r="T32" s="44">
        <f t="shared" si="16"/>
        <v>0</v>
      </c>
      <c r="U32" s="44">
        <f t="shared" si="16"/>
        <v>0</v>
      </c>
      <c r="V32" s="44">
        <f t="shared" si="16"/>
        <v>0</v>
      </c>
      <c r="W32" s="44">
        <f t="shared" si="16"/>
        <v>0</v>
      </c>
      <c r="X32" s="44">
        <f t="shared" si="16"/>
        <v>0</v>
      </c>
      <c r="Y32" s="44">
        <f t="shared" si="16"/>
        <v>0</v>
      </c>
      <c r="Z32" s="44">
        <f t="shared" si="16"/>
        <v>0</v>
      </c>
      <c r="AA32" s="44">
        <f t="shared" si="16"/>
        <v>0</v>
      </c>
      <c r="AB32" s="44">
        <f t="shared" si="16"/>
        <v>0</v>
      </c>
      <c r="AC32" s="45">
        <f t="shared" si="16"/>
        <v>0</v>
      </c>
      <c r="AD32" s="44">
        <f t="shared" si="16"/>
        <v>0</v>
      </c>
      <c r="AE32" s="44">
        <f t="shared" si="16"/>
        <v>0</v>
      </c>
      <c r="AF32" s="44">
        <f t="shared" si="16"/>
        <v>0</v>
      </c>
      <c r="AG32" s="44">
        <f t="shared" si="16"/>
        <v>0</v>
      </c>
      <c r="AH32" s="44">
        <f t="shared" si="16"/>
        <v>0</v>
      </c>
      <c r="AI32" s="44">
        <f t="shared" si="16"/>
        <v>0</v>
      </c>
      <c r="AJ32" s="44">
        <f t="shared" si="16"/>
        <v>0</v>
      </c>
      <c r="AK32" s="44">
        <f t="shared" si="16"/>
        <v>0</v>
      </c>
      <c r="AL32" s="46">
        <f t="shared" si="16"/>
        <v>0</v>
      </c>
      <c r="AM32" s="114"/>
      <c r="AN32" s="108"/>
      <c r="AO32" s="10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</row>
    <row r="33" spans="1:56" s="1" customFormat="1" ht="12.75" customHeight="1" x14ac:dyDescent="0.3">
      <c r="A33" s="128">
        <f>Drivers!AT31</f>
        <v>10</v>
      </c>
      <c r="B33" s="49" t="str">
        <f>Drivers!AU31</f>
        <v>A</v>
      </c>
      <c r="C33" s="25"/>
      <c r="D33" s="25"/>
      <c r="E33" s="25"/>
      <c r="F33" s="25"/>
      <c r="G33" s="25"/>
      <c r="H33" s="25"/>
      <c r="I33" s="25"/>
      <c r="J33" s="25"/>
      <c r="K33" s="25"/>
      <c r="L33" s="19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1"/>
      <c r="AD33" s="33"/>
      <c r="AE33" s="33"/>
      <c r="AF33" s="34"/>
      <c r="AG33" s="34"/>
      <c r="AH33" s="34"/>
      <c r="AI33" s="34"/>
      <c r="AJ33" s="33"/>
      <c r="AK33" s="33"/>
      <c r="AL33" s="30"/>
      <c r="AM33" s="111">
        <f>SUM(C35:AL35)</f>
        <v>0</v>
      </c>
      <c r="AN33" s="107">
        <f>RANK($AM$6:$AM$35,$AM$6:$AM$35,1&gt;10)</f>
        <v>8</v>
      </c>
      <c r="AO33" s="104"/>
      <c r="AP33" s="2"/>
      <c r="AQ33" s="13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s="1" customFormat="1" ht="13" x14ac:dyDescent="0.3">
      <c r="A34" s="127"/>
      <c r="B34" s="49" t="str">
        <f>Drivers!AU32</f>
        <v>B</v>
      </c>
      <c r="C34" s="26"/>
      <c r="D34" s="26"/>
      <c r="E34" s="26"/>
      <c r="F34" s="26"/>
      <c r="G34" s="26"/>
      <c r="H34" s="26"/>
      <c r="I34" s="26"/>
      <c r="J34" s="26"/>
      <c r="K34" s="26"/>
      <c r="L34" s="28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1"/>
      <c r="AD34" s="33"/>
      <c r="AE34" s="33"/>
      <c r="AF34" s="34"/>
      <c r="AG34" s="34"/>
      <c r="AH34" s="34"/>
      <c r="AI34" s="34"/>
      <c r="AJ34" s="33"/>
      <c r="AK34" s="33"/>
      <c r="AL34" s="30"/>
      <c r="AM34" s="112"/>
      <c r="AN34" s="105"/>
      <c r="AO34" s="105"/>
      <c r="AP34" s="2"/>
      <c r="AQ34" s="13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s="1" customFormat="1" ht="13.5" thickBot="1" x14ac:dyDescent="0.35">
      <c r="A35" s="129"/>
      <c r="B35" s="54"/>
      <c r="C35" s="35">
        <f>SUM(C33+C34)</f>
        <v>0</v>
      </c>
      <c r="D35" s="35">
        <f t="shared" ref="D35:AL35" si="17">SUM(D33+D34)</f>
        <v>0</v>
      </c>
      <c r="E35" s="35">
        <f t="shared" si="17"/>
        <v>0</v>
      </c>
      <c r="F35" s="35">
        <f t="shared" si="17"/>
        <v>0</v>
      </c>
      <c r="G35" s="35">
        <f t="shared" si="17"/>
        <v>0</v>
      </c>
      <c r="H35" s="35">
        <f t="shared" si="17"/>
        <v>0</v>
      </c>
      <c r="I35" s="35">
        <f t="shared" si="17"/>
        <v>0</v>
      </c>
      <c r="J35" s="35">
        <f t="shared" si="17"/>
        <v>0</v>
      </c>
      <c r="K35" s="35">
        <f t="shared" si="17"/>
        <v>0</v>
      </c>
      <c r="L35" s="36">
        <f t="shared" si="17"/>
        <v>0</v>
      </c>
      <c r="M35" s="35">
        <f t="shared" si="17"/>
        <v>0</v>
      </c>
      <c r="N35" s="35">
        <f t="shared" si="17"/>
        <v>0</v>
      </c>
      <c r="O35" s="35">
        <f t="shared" si="17"/>
        <v>0</v>
      </c>
      <c r="P35" s="35">
        <f t="shared" si="17"/>
        <v>0</v>
      </c>
      <c r="Q35" s="35">
        <f t="shared" si="17"/>
        <v>0</v>
      </c>
      <c r="R35" s="35">
        <f t="shared" si="17"/>
        <v>0</v>
      </c>
      <c r="S35" s="35">
        <f t="shared" si="17"/>
        <v>0</v>
      </c>
      <c r="T35" s="35">
        <f t="shared" si="17"/>
        <v>0</v>
      </c>
      <c r="U35" s="35">
        <f t="shared" si="17"/>
        <v>0</v>
      </c>
      <c r="V35" s="35">
        <f t="shared" si="17"/>
        <v>0</v>
      </c>
      <c r="W35" s="35">
        <f t="shared" si="17"/>
        <v>0</v>
      </c>
      <c r="X35" s="35">
        <f t="shared" si="17"/>
        <v>0</v>
      </c>
      <c r="Y35" s="35">
        <f t="shared" si="17"/>
        <v>0</v>
      </c>
      <c r="Z35" s="35">
        <f t="shared" si="17"/>
        <v>0</v>
      </c>
      <c r="AA35" s="35">
        <f t="shared" si="17"/>
        <v>0</v>
      </c>
      <c r="AB35" s="35">
        <f t="shared" si="17"/>
        <v>0</v>
      </c>
      <c r="AC35" s="36">
        <f t="shared" si="17"/>
        <v>0</v>
      </c>
      <c r="AD35" s="35">
        <f t="shared" si="17"/>
        <v>0</v>
      </c>
      <c r="AE35" s="35">
        <f t="shared" si="17"/>
        <v>0</v>
      </c>
      <c r="AF35" s="35">
        <f t="shared" si="17"/>
        <v>0</v>
      </c>
      <c r="AG35" s="35">
        <f t="shared" si="17"/>
        <v>0</v>
      </c>
      <c r="AH35" s="35">
        <f t="shared" si="17"/>
        <v>0</v>
      </c>
      <c r="AI35" s="35">
        <f t="shared" si="17"/>
        <v>0</v>
      </c>
      <c r="AJ35" s="35">
        <f t="shared" si="17"/>
        <v>0</v>
      </c>
      <c r="AK35" s="35">
        <f t="shared" si="17"/>
        <v>0</v>
      </c>
      <c r="AL35" s="37">
        <f t="shared" si="17"/>
        <v>0</v>
      </c>
      <c r="AM35" s="117"/>
      <c r="AN35" s="106"/>
      <c r="AO35" s="106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</row>
    <row r="36" spans="1:56" s="1" customFormat="1" ht="13" x14ac:dyDescent="0.3">
      <c r="A36" s="20"/>
      <c r="B36" s="8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16"/>
      <c r="AG36" s="16"/>
      <c r="AH36" s="16"/>
      <c r="AI36" s="16"/>
      <c r="AJ36" s="5"/>
      <c r="AK36" s="5"/>
      <c r="AL36" s="5"/>
      <c r="AM36" s="5"/>
      <c r="AN36" s="5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s="1" customFormat="1" ht="13" x14ac:dyDescent="0.3">
      <c r="A37" s="21"/>
      <c r="B37" s="8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16"/>
      <c r="AG37" s="16"/>
      <c r="AH37" s="16"/>
      <c r="AI37" s="16"/>
      <c r="AJ37" s="5"/>
      <c r="AK37" s="5"/>
      <c r="AL37" s="5"/>
      <c r="AM37" s="5"/>
      <c r="AN37" s="5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s="1" customFormat="1" ht="13" x14ac:dyDescent="0.3">
      <c r="A38" s="21"/>
      <c r="B38" s="8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9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16"/>
      <c r="AG38" s="16"/>
      <c r="AH38" s="16"/>
      <c r="AI38" s="16"/>
      <c r="AJ38" s="5"/>
      <c r="AK38" s="5"/>
      <c r="AL38" s="5"/>
      <c r="AM38" s="5"/>
      <c r="AN38" s="5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s="1" customFormat="1" ht="13" x14ac:dyDescent="0.3">
      <c r="A39" s="20"/>
      <c r="B39" s="2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16"/>
      <c r="AG39" s="16"/>
      <c r="AH39" s="16"/>
      <c r="AI39" s="16"/>
      <c r="AJ39" s="5"/>
      <c r="AK39" s="5"/>
      <c r="AL39" s="5"/>
      <c r="AM39" s="5"/>
      <c r="AN39" s="5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s="1" customFormat="1" ht="13" x14ac:dyDescent="0.3">
      <c r="A40" s="21"/>
      <c r="B40" s="8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16"/>
      <c r="AG40" s="16"/>
      <c r="AH40" s="16"/>
      <c r="AI40" s="16"/>
      <c r="AJ40" s="5"/>
      <c r="AK40" s="5"/>
      <c r="AL40" s="5"/>
      <c r="AM40" s="5"/>
      <c r="AN40" s="5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s="1" customFormat="1" ht="13" x14ac:dyDescent="0.3">
      <c r="A41" s="21"/>
      <c r="B41" s="8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16"/>
      <c r="AG41" s="16"/>
      <c r="AH41" s="16"/>
      <c r="AI41" s="16"/>
      <c r="AJ41" s="5"/>
      <c r="AK41" s="5"/>
      <c r="AL41" s="5"/>
      <c r="AM41" s="5"/>
      <c r="AN41" s="5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s="1" customFormat="1" ht="13" x14ac:dyDescent="0.3">
      <c r="A42" s="2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16"/>
      <c r="AG42" s="16"/>
      <c r="AH42" s="16"/>
      <c r="AI42" s="16"/>
      <c r="AJ42" s="5"/>
      <c r="AK42" s="5"/>
      <c r="AL42" s="5"/>
      <c r="AM42" s="5"/>
      <c r="AN42" s="5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s="1" customFormat="1" ht="13" x14ac:dyDescent="0.3">
      <c r="A43" s="21"/>
      <c r="B43" s="8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16"/>
      <c r="AG43" s="16"/>
      <c r="AH43" s="16"/>
      <c r="AI43" s="16"/>
      <c r="AJ43" s="5"/>
      <c r="AK43" s="5"/>
      <c r="AL43" s="5"/>
      <c r="AM43" s="5"/>
      <c r="AN43" s="5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s="1" customFormat="1" ht="13" x14ac:dyDescent="0.3">
      <c r="A44" s="21"/>
      <c r="B44" s="8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16"/>
      <c r="AG44" s="16"/>
      <c r="AH44" s="16"/>
      <c r="AI44" s="16"/>
      <c r="AJ44" s="5"/>
      <c r="AK44" s="5"/>
      <c r="AL44" s="5"/>
      <c r="AM44" s="5"/>
      <c r="AN44" s="5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s="1" customFormat="1" ht="13" x14ac:dyDescent="0.3">
      <c r="A45" s="20"/>
      <c r="B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16"/>
      <c r="AG45" s="16"/>
      <c r="AH45" s="16"/>
      <c r="AI45" s="16"/>
      <c r="AJ45" s="5"/>
      <c r="AK45" s="5"/>
      <c r="AL45" s="5"/>
      <c r="AM45" s="5"/>
      <c r="AN45" s="5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s="1" customFormat="1" ht="13" x14ac:dyDescent="0.3">
      <c r="A46" s="21"/>
      <c r="B46" s="8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16"/>
      <c r="AG46" s="16"/>
      <c r="AH46" s="16"/>
      <c r="AI46" s="16"/>
      <c r="AJ46" s="5"/>
      <c r="AK46" s="5"/>
      <c r="AL46" s="5"/>
      <c r="AM46" s="5"/>
      <c r="AN46" s="5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s="1" customFormat="1" ht="13" x14ac:dyDescent="0.3">
      <c r="A47" s="21"/>
      <c r="B47" s="22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16"/>
      <c r="AG47" s="16"/>
      <c r="AH47" s="16"/>
      <c r="AI47" s="16"/>
      <c r="AJ47" s="5"/>
      <c r="AK47" s="5"/>
      <c r="AL47" s="5"/>
      <c r="AM47" s="5"/>
      <c r="AN47" s="5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s="1" customFormat="1" ht="13" x14ac:dyDescent="0.3">
      <c r="A48" s="20"/>
      <c r="B48" s="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16"/>
      <c r="AG48" s="16"/>
      <c r="AH48" s="16"/>
      <c r="AI48" s="16"/>
      <c r="AJ48" s="5"/>
      <c r="AK48" s="5"/>
      <c r="AL48" s="5"/>
      <c r="AM48" s="5"/>
      <c r="AN48" s="5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s="1" customFormat="1" ht="13" x14ac:dyDescent="0.3">
      <c r="A49" s="21"/>
      <c r="B49" s="8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16"/>
      <c r="AG49" s="16"/>
      <c r="AH49" s="16"/>
      <c r="AI49" s="16"/>
      <c r="AJ49" s="5"/>
      <c r="AK49" s="5"/>
      <c r="AL49" s="5"/>
      <c r="AM49" s="5"/>
      <c r="AN49" s="5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s="1" customFormat="1" ht="13" x14ac:dyDescent="0.3">
      <c r="A50" s="21"/>
      <c r="B50" s="8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16"/>
      <c r="AG50" s="16"/>
      <c r="AH50" s="16"/>
      <c r="AI50" s="16"/>
      <c r="AJ50" s="5"/>
      <c r="AK50" s="5"/>
      <c r="AL50" s="5"/>
      <c r="AM50" s="5"/>
      <c r="AN50" s="5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s="1" customFormat="1" ht="13" x14ac:dyDescent="0.3">
      <c r="A51" s="20"/>
      <c r="B51" s="2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16"/>
      <c r="AG51" s="16"/>
      <c r="AH51" s="16"/>
      <c r="AI51" s="16"/>
      <c r="AJ51" s="5"/>
      <c r="AK51" s="5"/>
      <c r="AL51" s="5"/>
      <c r="AM51" s="5"/>
      <c r="AN51" s="5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s="1" customFormat="1" ht="13" x14ac:dyDescent="0.3">
      <c r="A52" s="21"/>
      <c r="B52" s="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16"/>
      <c r="AG52" s="16"/>
      <c r="AH52" s="16"/>
      <c r="AI52" s="16"/>
      <c r="AJ52" s="5"/>
      <c r="AK52" s="5"/>
      <c r="AL52" s="5"/>
      <c r="AM52" s="5"/>
      <c r="AN52" s="5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s="1" customFormat="1" ht="13" x14ac:dyDescent="0.3">
      <c r="A53" s="21"/>
      <c r="B53" s="8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16"/>
      <c r="AG53" s="16"/>
      <c r="AH53" s="16"/>
      <c r="AI53" s="16"/>
      <c r="AJ53" s="5"/>
      <c r="AK53" s="5"/>
      <c r="AL53" s="5"/>
      <c r="AM53" s="5"/>
      <c r="AN53" s="5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s="3" customFormat="1" ht="13" x14ac:dyDescent="0.3">
      <c r="A54" s="20"/>
      <c r="B54" s="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7"/>
      <c r="AG54" s="17"/>
      <c r="AH54" s="17"/>
      <c r="AI54" s="17"/>
      <c r="AJ54" s="6"/>
      <c r="AK54" s="6"/>
      <c r="AL54" s="6"/>
      <c r="AM54" s="6"/>
      <c r="AN54" s="6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</row>
    <row r="55" spans="1:56" s="1" customFormat="1" ht="13" x14ac:dyDescent="0.3">
      <c r="A55" s="21"/>
      <c r="B55" s="8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16"/>
      <c r="AG55" s="16"/>
      <c r="AH55" s="16"/>
      <c r="AI55" s="16"/>
      <c r="AJ55" s="5"/>
      <c r="AK55" s="5"/>
      <c r="AL55" s="5"/>
      <c r="AM55" s="5"/>
      <c r="AN55" s="5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s="1" customFormat="1" ht="13" x14ac:dyDescent="0.3">
      <c r="A56" s="21"/>
      <c r="B56" s="8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16"/>
      <c r="AG56" s="16"/>
      <c r="AH56" s="16"/>
      <c r="AI56" s="16"/>
      <c r="AJ56" s="5"/>
      <c r="AK56" s="5"/>
      <c r="AL56" s="5"/>
      <c r="AM56" s="5"/>
      <c r="AN56" s="5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s="1" customFormat="1" ht="13" x14ac:dyDescent="0.3">
      <c r="A57" s="20"/>
      <c r="B57" s="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16"/>
      <c r="AG57" s="16"/>
      <c r="AH57" s="16"/>
      <c r="AI57" s="16"/>
      <c r="AJ57" s="5"/>
      <c r="AK57" s="5"/>
      <c r="AL57" s="5"/>
      <c r="AM57" s="5"/>
      <c r="AN57" s="5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s="1" customFormat="1" ht="13" x14ac:dyDescent="0.3">
      <c r="A58" s="21"/>
      <c r="B58" s="8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16"/>
      <c r="AG58" s="16"/>
      <c r="AH58" s="16"/>
      <c r="AI58" s="16"/>
      <c r="AJ58" s="5"/>
      <c r="AK58" s="5"/>
      <c r="AL58" s="5"/>
      <c r="AM58" s="5"/>
      <c r="AN58" s="5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s="1" customFormat="1" ht="13" x14ac:dyDescent="0.3">
      <c r="A59" s="21"/>
      <c r="B59" s="22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16"/>
      <c r="AG59" s="16"/>
      <c r="AH59" s="16"/>
      <c r="AI59" s="16"/>
      <c r="AJ59" s="5"/>
      <c r="AK59" s="5"/>
      <c r="AL59" s="5"/>
      <c r="AM59" s="5"/>
      <c r="AN59" s="5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s="3" customFormat="1" ht="13" x14ac:dyDescent="0.3">
      <c r="A60" s="20"/>
      <c r="B60" s="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17"/>
      <c r="AG60" s="17"/>
      <c r="AH60" s="17"/>
      <c r="AI60" s="17"/>
      <c r="AJ60" s="6"/>
      <c r="AK60" s="6"/>
      <c r="AL60" s="6"/>
      <c r="AM60" s="6"/>
      <c r="AN60" s="6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</row>
    <row r="61" spans="1:56" s="1" customFormat="1" ht="13" x14ac:dyDescent="0.3">
      <c r="A61" s="21"/>
      <c r="B61" s="8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16"/>
      <c r="AG61" s="16"/>
      <c r="AH61" s="16"/>
      <c r="AI61" s="16"/>
      <c r="AJ61" s="5"/>
      <c r="AK61" s="5"/>
      <c r="AL61" s="5"/>
      <c r="AM61" s="5"/>
      <c r="AN61" s="5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s="1" customFormat="1" ht="13" x14ac:dyDescent="0.3">
      <c r="A62" s="21"/>
      <c r="B62" s="8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16"/>
      <c r="AG62" s="16"/>
      <c r="AH62" s="16"/>
      <c r="AI62" s="16"/>
      <c r="AJ62" s="5"/>
      <c r="AK62" s="5"/>
      <c r="AL62" s="5"/>
      <c r="AM62" s="5"/>
      <c r="AN62" s="5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s="3" customFormat="1" ht="13" x14ac:dyDescent="0.3">
      <c r="A63" s="20"/>
      <c r="B63" s="2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17"/>
      <c r="AG63" s="17"/>
      <c r="AH63" s="17"/>
      <c r="AI63" s="17"/>
      <c r="AJ63" s="6"/>
      <c r="AK63" s="6"/>
      <c r="AL63" s="6"/>
      <c r="AM63" s="6"/>
      <c r="AN63" s="6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</row>
    <row r="64" spans="1:56" s="1" customFormat="1" ht="13" x14ac:dyDescent="0.3">
      <c r="A64" s="21"/>
      <c r="B64" s="8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16"/>
      <c r="AG64" s="16"/>
      <c r="AH64" s="16"/>
      <c r="AI64" s="16"/>
      <c r="AJ64" s="5"/>
      <c r="AK64" s="5"/>
      <c r="AL64" s="5"/>
      <c r="AM64" s="5"/>
      <c r="AN64" s="5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s="1" customFormat="1" ht="13" x14ac:dyDescent="0.3">
      <c r="A65" s="21"/>
      <c r="B65" s="8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16"/>
      <c r="AG65" s="16"/>
      <c r="AH65" s="16"/>
      <c r="AI65" s="16"/>
      <c r="AJ65" s="5"/>
      <c r="AK65" s="5"/>
      <c r="AL65" s="5"/>
      <c r="AM65" s="5"/>
      <c r="AN65" s="5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s="3" customFormat="1" ht="13" x14ac:dyDescent="0.3">
      <c r="A66" s="20"/>
      <c r="B66" s="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17"/>
      <c r="AG66" s="17"/>
      <c r="AH66" s="17"/>
      <c r="AI66" s="17"/>
      <c r="AJ66" s="6"/>
      <c r="AK66" s="6"/>
      <c r="AL66" s="6"/>
      <c r="AM66" s="6"/>
      <c r="AN66" s="6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</row>
    <row r="67" spans="1:56" s="1" customFormat="1" ht="13" x14ac:dyDescent="0.3">
      <c r="A67" s="21"/>
      <c r="B67" s="8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16"/>
      <c r="AG67" s="16"/>
      <c r="AH67" s="16"/>
      <c r="AI67" s="16"/>
      <c r="AJ67" s="5"/>
      <c r="AK67" s="5"/>
      <c r="AL67" s="5"/>
      <c r="AM67" s="5"/>
      <c r="AN67" s="5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s="1" customFormat="1" ht="13" x14ac:dyDescent="0.3">
      <c r="A68" s="21"/>
      <c r="B68" s="8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16"/>
      <c r="AG68" s="16"/>
      <c r="AH68" s="16"/>
      <c r="AI68" s="16"/>
      <c r="AJ68" s="5"/>
      <c r="AK68" s="5"/>
      <c r="AL68" s="5"/>
      <c r="AM68" s="5"/>
      <c r="AN68" s="5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s="3" customFormat="1" ht="13" x14ac:dyDescent="0.3">
      <c r="A69" s="20"/>
      <c r="B69" s="8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17"/>
      <c r="AG69" s="17"/>
      <c r="AH69" s="17"/>
      <c r="AI69" s="17"/>
      <c r="AJ69" s="6"/>
      <c r="AK69" s="6"/>
      <c r="AL69" s="6"/>
      <c r="AM69" s="6"/>
      <c r="AN69" s="6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</row>
    <row r="70" spans="1:56" s="1" customFormat="1" ht="13" x14ac:dyDescent="0.3">
      <c r="A70" s="21"/>
      <c r="B70" s="8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16"/>
      <c r="AG70" s="16"/>
      <c r="AH70" s="16"/>
      <c r="AI70" s="16"/>
      <c r="AJ70" s="5"/>
      <c r="AK70" s="5"/>
      <c r="AL70" s="5"/>
      <c r="AM70" s="5"/>
      <c r="AN70" s="5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s="1" customFormat="1" ht="13" x14ac:dyDescent="0.3">
      <c r="A71" s="21"/>
      <c r="B71" s="8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16"/>
      <c r="AG71" s="16"/>
      <c r="AH71" s="16"/>
      <c r="AI71" s="16"/>
      <c r="AJ71" s="5"/>
      <c r="AK71" s="5"/>
      <c r="AL71" s="5"/>
      <c r="AM71" s="5"/>
      <c r="AN71" s="5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s="3" customFormat="1" ht="13" x14ac:dyDescent="0.3">
      <c r="A72" s="20"/>
      <c r="B72" s="8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17"/>
      <c r="AG72" s="17"/>
      <c r="AH72" s="17"/>
      <c r="AI72" s="17"/>
      <c r="AJ72" s="6"/>
      <c r="AK72" s="6"/>
      <c r="AL72" s="6"/>
      <c r="AM72" s="6"/>
      <c r="AN72" s="6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</row>
    <row r="73" spans="1:56" s="1" customFormat="1" ht="13" x14ac:dyDescent="0.3">
      <c r="A73" s="21"/>
      <c r="B73" s="8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16"/>
      <c r="AG73" s="16"/>
      <c r="AH73" s="16"/>
      <c r="AI73" s="16"/>
      <c r="AJ73" s="5"/>
      <c r="AK73" s="5"/>
      <c r="AL73" s="5"/>
      <c r="AM73" s="5"/>
      <c r="AN73" s="5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s="1" customFormat="1" ht="13" x14ac:dyDescent="0.3">
      <c r="A74" s="21"/>
      <c r="B74" s="2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16"/>
      <c r="AG74" s="16"/>
      <c r="AH74" s="16"/>
      <c r="AI74" s="16"/>
      <c r="AJ74" s="5"/>
      <c r="AK74" s="5"/>
      <c r="AL74" s="5"/>
      <c r="AM74" s="5"/>
      <c r="AN74" s="5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s="3" customFormat="1" ht="13" x14ac:dyDescent="0.3">
      <c r="A75" s="20"/>
      <c r="B75" s="8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17"/>
      <c r="AG75" s="17"/>
      <c r="AH75" s="17"/>
      <c r="AI75" s="17"/>
      <c r="AJ75" s="6"/>
      <c r="AK75" s="6"/>
      <c r="AL75" s="6"/>
      <c r="AM75" s="6"/>
      <c r="AN75" s="6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</row>
    <row r="76" spans="1:56" s="1" customFormat="1" ht="13" x14ac:dyDescent="0.3">
      <c r="A76" s="21"/>
      <c r="B76" s="8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16"/>
      <c r="AG76" s="16"/>
      <c r="AH76" s="16"/>
      <c r="AI76" s="16"/>
      <c r="AJ76" s="5"/>
      <c r="AK76" s="5"/>
      <c r="AL76" s="5"/>
      <c r="AM76" s="5"/>
      <c r="AN76" s="5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s="1" customFormat="1" ht="13" x14ac:dyDescent="0.3">
      <c r="A77" s="21"/>
      <c r="B77" s="8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16"/>
      <c r="AG77" s="16"/>
      <c r="AH77" s="16"/>
      <c r="AI77" s="16"/>
      <c r="AJ77" s="5"/>
      <c r="AK77" s="5"/>
      <c r="AL77" s="5"/>
      <c r="AM77" s="5"/>
      <c r="AN77" s="5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s="3" customFormat="1" ht="13" x14ac:dyDescent="0.3">
      <c r="A78" s="20"/>
      <c r="B78" s="2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7"/>
      <c r="AG78" s="17"/>
      <c r="AH78" s="17"/>
      <c r="AI78" s="17"/>
      <c r="AJ78" s="6"/>
      <c r="AK78" s="6"/>
      <c r="AL78" s="6"/>
      <c r="AM78" s="6"/>
      <c r="AN78" s="6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</row>
    <row r="79" spans="1:56" s="1" customFormat="1" ht="13" x14ac:dyDescent="0.3">
      <c r="A79" s="21"/>
      <c r="B79" s="8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16"/>
      <c r="AG79" s="16"/>
      <c r="AH79" s="16"/>
      <c r="AI79" s="16"/>
      <c r="AJ79" s="5"/>
      <c r="AK79" s="5"/>
      <c r="AL79" s="5"/>
      <c r="AM79" s="5"/>
      <c r="AN79" s="5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s="1" customFormat="1" ht="13" x14ac:dyDescent="0.3">
      <c r="A80" s="21"/>
      <c r="B80" s="8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16"/>
      <c r="AG80" s="16"/>
      <c r="AH80" s="16"/>
      <c r="AI80" s="16"/>
      <c r="AJ80" s="5"/>
      <c r="AK80" s="5"/>
      <c r="AL80" s="5"/>
      <c r="AM80" s="5"/>
      <c r="AN80" s="5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s="3" customFormat="1" ht="13" x14ac:dyDescent="0.3">
      <c r="A81" s="20"/>
      <c r="B81" s="8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17"/>
      <c r="AG81" s="17"/>
      <c r="AH81" s="17"/>
      <c r="AI81" s="17"/>
      <c r="AJ81" s="6"/>
      <c r="AK81" s="6"/>
      <c r="AL81" s="6"/>
      <c r="AM81" s="6"/>
      <c r="AN81" s="6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</row>
    <row r="82" spans="1:56" s="1" customFormat="1" ht="13" x14ac:dyDescent="0.3">
      <c r="A82" s="21"/>
      <c r="B82" s="8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16"/>
      <c r="AG82" s="16"/>
      <c r="AH82" s="16"/>
      <c r="AI82" s="16"/>
      <c r="AJ82" s="5"/>
      <c r="AK82" s="5"/>
      <c r="AL82" s="5"/>
      <c r="AM82" s="5"/>
      <c r="AN82" s="5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s="1" customFormat="1" ht="13" x14ac:dyDescent="0.3">
      <c r="A83" s="21"/>
      <c r="B83" s="8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16"/>
      <c r="AG83" s="16"/>
      <c r="AH83" s="16"/>
      <c r="AI83" s="16"/>
      <c r="AJ83" s="5"/>
      <c r="AK83" s="5"/>
      <c r="AL83" s="5"/>
      <c r="AM83" s="5"/>
      <c r="AN83" s="5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s="3" customFormat="1" ht="13" x14ac:dyDescent="0.3">
      <c r="A84" s="20"/>
      <c r="B84" s="8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17"/>
      <c r="AG84" s="17"/>
      <c r="AH84" s="17"/>
      <c r="AI84" s="17"/>
      <c r="AJ84" s="6"/>
      <c r="AK84" s="6"/>
      <c r="AL84" s="6"/>
      <c r="AM84" s="6"/>
      <c r="AN84" s="6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</row>
    <row r="85" spans="1:56" s="1" customFormat="1" ht="13" x14ac:dyDescent="0.3">
      <c r="A85" s="21"/>
      <c r="B85" s="8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16"/>
      <c r="AG85" s="16"/>
      <c r="AH85" s="16"/>
      <c r="AI85" s="16"/>
      <c r="AJ85" s="5"/>
      <c r="AK85" s="5"/>
      <c r="AL85" s="5"/>
      <c r="AM85" s="5"/>
      <c r="AN85" s="5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s="1" customFormat="1" ht="13" x14ac:dyDescent="0.3">
      <c r="A86" s="21"/>
      <c r="B86" s="8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16"/>
      <c r="AG86" s="16"/>
      <c r="AH86" s="16"/>
      <c r="AI86" s="16"/>
      <c r="AJ86" s="5"/>
      <c r="AK86" s="5"/>
      <c r="AL86" s="5"/>
      <c r="AM86" s="5"/>
      <c r="AN86" s="5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s="3" customFormat="1" ht="13" x14ac:dyDescent="0.3">
      <c r="A87" s="20"/>
      <c r="B87" s="8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17"/>
      <c r="AG87" s="17"/>
      <c r="AH87" s="17"/>
      <c r="AI87" s="17"/>
      <c r="AJ87" s="6"/>
      <c r="AK87" s="6"/>
      <c r="AL87" s="6"/>
      <c r="AM87" s="6"/>
      <c r="AN87" s="6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</row>
    <row r="88" spans="1:56" s="1" customFormat="1" ht="13" x14ac:dyDescent="0.3">
      <c r="A88" s="21"/>
      <c r="B88" s="8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16"/>
      <c r="AG88" s="16"/>
      <c r="AH88" s="16"/>
      <c r="AI88" s="16"/>
      <c r="AJ88" s="5"/>
      <c r="AK88" s="5"/>
      <c r="AL88" s="5"/>
      <c r="AM88" s="5"/>
      <c r="AN88" s="5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s="1" customFormat="1" ht="13" x14ac:dyDescent="0.3">
      <c r="A89" s="21"/>
      <c r="B89" s="2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16"/>
      <c r="AG89" s="16"/>
      <c r="AH89" s="16"/>
      <c r="AI89" s="16"/>
      <c r="AJ89" s="5"/>
      <c r="AK89" s="5"/>
      <c r="AL89" s="5"/>
      <c r="AM89" s="5"/>
      <c r="AN89" s="5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s="3" customFormat="1" ht="13" x14ac:dyDescent="0.3">
      <c r="A90" s="20"/>
      <c r="B90" s="8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17"/>
      <c r="AG90" s="17"/>
      <c r="AH90" s="17"/>
      <c r="AI90" s="17"/>
      <c r="AJ90" s="6"/>
      <c r="AK90" s="6"/>
      <c r="AL90" s="6"/>
      <c r="AM90" s="6"/>
      <c r="AN90" s="6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</row>
    <row r="91" spans="1:56" s="1" customFormat="1" ht="13" x14ac:dyDescent="0.3">
      <c r="A91" s="21"/>
      <c r="B91" s="8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16"/>
      <c r="AG91" s="16"/>
      <c r="AH91" s="16"/>
      <c r="AI91" s="16"/>
      <c r="AJ91" s="5"/>
      <c r="AK91" s="5"/>
      <c r="AL91" s="5"/>
      <c r="AM91" s="5"/>
      <c r="AN91" s="5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s="1" customFormat="1" ht="13" x14ac:dyDescent="0.3">
      <c r="A92" s="21"/>
      <c r="B92" s="8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16"/>
      <c r="AG92" s="16"/>
      <c r="AH92" s="16"/>
      <c r="AI92" s="16"/>
      <c r="AJ92" s="5"/>
      <c r="AK92" s="5"/>
      <c r="AL92" s="5"/>
      <c r="AM92" s="5"/>
      <c r="AN92" s="5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s="3" customFormat="1" ht="13" x14ac:dyDescent="0.3">
      <c r="A93" s="20"/>
      <c r="B93" s="2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17"/>
      <c r="AG93" s="17"/>
      <c r="AH93" s="17"/>
      <c r="AI93" s="17"/>
      <c r="AJ93" s="6"/>
      <c r="AK93" s="6"/>
      <c r="AL93" s="6"/>
      <c r="AM93" s="6"/>
      <c r="AN93" s="6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</row>
    <row r="94" spans="1:56" s="1" customFormat="1" ht="13" x14ac:dyDescent="0.3">
      <c r="A94" s="21"/>
      <c r="B94" s="8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16"/>
      <c r="AG94" s="16"/>
      <c r="AH94" s="16"/>
      <c r="AI94" s="16"/>
      <c r="AJ94" s="5"/>
      <c r="AK94" s="5"/>
      <c r="AL94" s="5"/>
      <c r="AM94" s="5"/>
      <c r="AN94" s="5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s="1" customFormat="1" ht="13" x14ac:dyDescent="0.3">
      <c r="A95" s="21"/>
      <c r="B95" s="8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16"/>
      <c r="AG95" s="16"/>
      <c r="AH95" s="16"/>
      <c r="AI95" s="16"/>
      <c r="AJ95" s="5"/>
      <c r="AK95" s="5"/>
      <c r="AL95" s="5"/>
      <c r="AM95" s="5"/>
      <c r="AN95" s="5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s="3" customFormat="1" ht="13" x14ac:dyDescent="0.3">
      <c r="A96" s="20"/>
      <c r="B96" s="8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17"/>
      <c r="AG96" s="17"/>
      <c r="AH96" s="17"/>
      <c r="AI96" s="17"/>
      <c r="AJ96" s="6"/>
      <c r="AK96" s="6"/>
      <c r="AL96" s="6"/>
      <c r="AM96" s="6"/>
      <c r="AN96" s="6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</row>
    <row r="97" spans="1:56" s="1" customFormat="1" ht="13" x14ac:dyDescent="0.3">
      <c r="A97" s="21"/>
      <c r="B97" s="8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16"/>
      <c r="AG97" s="16"/>
      <c r="AH97" s="16"/>
      <c r="AI97" s="16"/>
      <c r="AJ97" s="5"/>
      <c r="AK97" s="5"/>
      <c r="AL97" s="5"/>
      <c r="AM97" s="5"/>
      <c r="AN97" s="5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s="1" customFormat="1" ht="13" x14ac:dyDescent="0.3">
      <c r="A98" s="21"/>
      <c r="B98" s="8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16"/>
      <c r="AG98" s="16"/>
      <c r="AH98" s="16"/>
      <c r="AI98" s="16"/>
      <c r="AJ98" s="5"/>
      <c r="AK98" s="5"/>
      <c r="AL98" s="5"/>
      <c r="AM98" s="5"/>
      <c r="AN98" s="5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s="3" customFormat="1" ht="13" x14ac:dyDescent="0.3">
      <c r="A99" s="20"/>
      <c r="B99" s="8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17"/>
      <c r="AG99" s="17"/>
      <c r="AH99" s="17"/>
      <c r="AI99" s="17"/>
      <c r="AJ99" s="6"/>
      <c r="AK99" s="6"/>
      <c r="AL99" s="6"/>
      <c r="AM99" s="6"/>
      <c r="AN99" s="6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</row>
    <row r="100" spans="1:56" s="1" customFormat="1" ht="13" x14ac:dyDescent="0.3">
      <c r="A100" s="21"/>
      <c r="B100" s="8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16"/>
      <c r="AG100" s="16"/>
      <c r="AH100" s="16"/>
      <c r="AI100" s="16"/>
      <c r="AJ100" s="5"/>
      <c r="AK100" s="5"/>
      <c r="AL100" s="5"/>
      <c r="AM100" s="5"/>
      <c r="AN100" s="5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s="1" customFormat="1" ht="13" x14ac:dyDescent="0.3">
      <c r="A101" s="21"/>
      <c r="B101" s="8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16"/>
      <c r="AG101" s="16"/>
      <c r="AH101" s="16"/>
      <c r="AI101" s="16"/>
      <c r="AJ101" s="5"/>
      <c r="AK101" s="5"/>
      <c r="AL101" s="5"/>
      <c r="AM101" s="5"/>
      <c r="AN101" s="5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s="3" customFormat="1" ht="13" x14ac:dyDescent="0.3">
      <c r="A102" s="20"/>
      <c r="B102" s="8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17"/>
      <c r="AG102" s="17"/>
      <c r="AH102" s="17"/>
      <c r="AI102" s="17"/>
      <c r="AJ102" s="6"/>
      <c r="AK102" s="6"/>
      <c r="AL102" s="6"/>
      <c r="AM102" s="6"/>
      <c r="AN102" s="6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</row>
    <row r="103" spans="1:56" s="1" customFormat="1" ht="13" x14ac:dyDescent="0.3">
      <c r="A103" s="21"/>
      <c r="B103" s="8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16"/>
      <c r="AG103" s="16"/>
      <c r="AH103" s="16"/>
      <c r="AI103" s="16"/>
      <c r="AJ103" s="5"/>
      <c r="AK103" s="5"/>
      <c r="AL103" s="5"/>
      <c r="AM103" s="5"/>
      <c r="AN103" s="5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s="1" customFormat="1" ht="13" x14ac:dyDescent="0.3">
      <c r="A104" s="21"/>
      <c r="B104" s="8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16"/>
      <c r="AG104" s="16"/>
      <c r="AH104" s="16"/>
      <c r="AI104" s="16"/>
      <c r="AJ104" s="5"/>
      <c r="AK104" s="5"/>
      <c r="AL104" s="5"/>
      <c r="AM104" s="5"/>
      <c r="AN104" s="5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s="3" customFormat="1" ht="13" x14ac:dyDescent="0.3">
      <c r="A105" s="20"/>
      <c r="B105" s="8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17"/>
      <c r="AG105" s="17"/>
      <c r="AH105" s="17"/>
      <c r="AI105" s="17"/>
      <c r="AJ105" s="6"/>
      <c r="AK105" s="6"/>
      <c r="AL105" s="6"/>
      <c r="AM105" s="6"/>
      <c r="AN105" s="6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</row>
    <row r="106" spans="1:56" s="1" customFormat="1" ht="13" x14ac:dyDescent="0.3">
      <c r="A106" s="21"/>
      <c r="B106" s="8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16"/>
      <c r="AG106" s="16"/>
      <c r="AH106" s="16"/>
      <c r="AI106" s="16"/>
      <c r="AJ106" s="5"/>
      <c r="AK106" s="5"/>
      <c r="AL106" s="5"/>
      <c r="AM106" s="5"/>
      <c r="AN106" s="5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 spans="1:56" s="1" customFormat="1" ht="13" x14ac:dyDescent="0.3">
      <c r="A107" s="21"/>
      <c r="B107" s="22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16"/>
      <c r="AG107" s="16"/>
      <c r="AH107" s="16"/>
      <c r="AI107" s="16"/>
      <c r="AJ107" s="5"/>
      <c r="AK107" s="5"/>
      <c r="AL107" s="5"/>
      <c r="AM107" s="5"/>
      <c r="AN107" s="5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 spans="1:56" s="3" customFormat="1" ht="13" x14ac:dyDescent="0.3">
      <c r="A108" s="20"/>
      <c r="B108" s="8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17"/>
      <c r="AG108" s="17"/>
      <c r="AH108" s="17"/>
      <c r="AI108" s="17"/>
      <c r="AJ108" s="6"/>
      <c r="AK108" s="6"/>
      <c r="AL108" s="6"/>
      <c r="AM108" s="6"/>
      <c r="AN108" s="6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</row>
    <row r="109" spans="1:56" s="1" customFormat="1" ht="13" x14ac:dyDescent="0.3">
      <c r="A109" s="21"/>
      <c r="B109" s="8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16"/>
      <c r="AG109" s="16"/>
      <c r="AH109" s="16"/>
      <c r="AI109" s="16"/>
      <c r="AJ109" s="5"/>
      <c r="AK109" s="5"/>
      <c r="AL109" s="5"/>
      <c r="AM109" s="5"/>
      <c r="AN109" s="5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 spans="1:56" s="1" customFormat="1" ht="13" x14ac:dyDescent="0.3">
      <c r="A110" s="21"/>
      <c r="B110" s="8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16"/>
      <c r="AG110" s="16"/>
      <c r="AH110" s="16"/>
      <c r="AI110" s="16"/>
      <c r="AJ110" s="5"/>
      <c r="AK110" s="5"/>
      <c r="AL110" s="5"/>
      <c r="AM110" s="5"/>
      <c r="AN110" s="5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 spans="1:56" s="3" customFormat="1" ht="13" x14ac:dyDescent="0.3">
      <c r="A111" s="20"/>
      <c r="B111" s="2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17"/>
      <c r="AG111" s="17"/>
      <c r="AH111" s="17"/>
      <c r="AI111" s="17"/>
      <c r="AJ111" s="6"/>
      <c r="AK111" s="6"/>
      <c r="AL111" s="6"/>
      <c r="AM111" s="6"/>
      <c r="AN111" s="6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</row>
    <row r="112" spans="1:56" s="1" customFormat="1" ht="13" x14ac:dyDescent="0.3">
      <c r="A112" s="21"/>
      <c r="B112" s="8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16"/>
      <c r="AG112" s="16"/>
      <c r="AH112" s="16"/>
      <c r="AI112" s="16"/>
      <c r="AJ112" s="5"/>
      <c r="AK112" s="5"/>
      <c r="AL112" s="5"/>
      <c r="AM112" s="5"/>
      <c r="AN112" s="5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 spans="1:56" s="1" customFormat="1" ht="13" x14ac:dyDescent="0.3">
      <c r="A113" s="21"/>
      <c r="B113" s="8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16"/>
      <c r="AG113" s="16"/>
      <c r="AH113" s="16"/>
      <c r="AI113" s="16"/>
      <c r="AJ113" s="5"/>
      <c r="AK113" s="5"/>
      <c r="AL113" s="5"/>
      <c r="AM113" s="5"/>
      <c r="AN113" s="5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 spans="1:56" s="3" customFormat="1" ht="13" x14ac:dyDescent="0.3">
      <c r="A114" s="20"/>
      <c r="B114" s="8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17"/>
      <c r="AG114" s="17"/>
      <c r="AH114" s="17"/>
      <c r="AI114" s="17"/>
      <c r="AJ114" s="6"/>
      <c r="AK114" s="6"/>
      <c r="AL114" s="6"/>
      <c r="AM114" s="6"/>
      <c r="AN114" s="6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</row>
    <row r="115" spans="1:56" s="3" customFormat="1" ht="13" x14ac:dyDescent="0.3">
      <c r="A115" s="20"/>
      <c r="B115" s="8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17"/>
      <c r="AG115" s="17"/>
      <c r="AH115" s="17"/>
      <c r="AI115" s="17"/>
      <c r="AJ115" s="6"/>
      <c r="AK115" s="6"/>
      <c r="AL115" s="6"/>
      <c r="AM115" s="6"/>
      <c r="AN115" s="6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</row>
    <row r="116" spans="1:56" x14ac:dyDescent="0.25">
      <c r="J116" s="4"/>
      <c r="K116" s="4"/>
      <c r="L116" s="4"/>
    </row>
    <row r="117" spans="1:56" s="1" customFormat="1" ht="13" x14ac:dyDescent="0.3">
      <c r="A117" s="23"/>
      <c r="B117" s="2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16"/>
      <c r="AG117" s="16"/>
      <c r="AH117" s="16"/>
      <c r="AI117" s="16"/>
      <c r="AJ117" s="5"/>
      <c r="AK117" s="5"/>
      <c r="AL117" s="5"/>
      <c r="AM117" s="5"/>
      <c r="AN117" s="5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 spans="1:56" s="1" customFormat="1" ht="13" x14ac:dyDescent="0.3">
      <c r="A118" s="23"/>
      <c r="B118" s="2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16"/>
      <c r="AG118" s="16"/>
      <c r="AH118" s="16"/>
      <c r="AI118" s="16"/>
      <c r="AJ118" s="5"/>
      <c r="AK118" s="5"/>
      <c r="AL118" s="5"/>
      <c r="AM118" s="5"/>
      <c r="AN118" s="5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 spans="1:56" x14ac:dyDescent="0.25">
      <c r="A119" s="24"/>
      <c r="B119" s="22"/>
      <c r="J119" s="4"/>
      <c r="K119" s="4"/>
      <c r="L119" s="4"/>
    </row>
    <row r="120" spans="1:56" x14ac:dyDescent="0.25">
      <c r="A120" s="23"/>
      <c r="B120" s="22"/>
      <c r="C120" s="14"/>
      <c r="D120" s="14"/>
      <c r="E120" s="14"/>
      <c r="F120" s="14"/>
      <c r="G120" s="14"/>
      <c r="H120" s="14"/>
      <c r="I120" s="14"/>
      <c r="J120" s="14"/>
      <c r="K120" s="14"/>
      <c r="L120" s="14"/>
    </row>
    <row r="121" spans="1:56" x14ac:dyDescent="0.25">
      <c r="A121" s="21"/>
      <c r="C121" s="115"/>
      <c r="D121" s="116"/>
      <c r="E121" s="116"/>
      <c r="F121" s="116"/>
      <c r="G121" s="116"/>
      <c r="H121" s="116"/>
      <c r="I121" s="116"/>
      <c r="J121" s="116"/>
      <c r="K121" s="116"/>
      <c r="L121" s="116"/>
    </row>
    <row r="122" spans="1:56" x14ac:dyDescent="0.25"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</row>
    <row r="123" spans="1:56" x14ac:dyDescent="0.25">
      <c r="A123" s="21"/>
      <c r="C123" s="18"/>
      <c r="D123" s="18"/>
      <c r="E123" s="15"/>
      <c r="F123" s="18"/>
      <c r="G123" s="18"/>
      <c r="H123" s="18"/>
      <c r="I123" s="18"/>
      <c r="J123" s="18"/>
      <c r="K123" s="18"/>
      <c r="L123" s="18"/>
    </row>
    <row r="124" spans="1:56" x14ac:dyDescent="0.25">
      <c r="A124" s="21"/>
      <c r="C124" s="15"/>
      <c r="G124" s="15"/>
      <c r="H124" s="15"/>
    </row>
    <row r="125" spans="1:56" x14ac:dyDescent="0.25">
      <c r="A125" s="21"/>
      <c r="C125" s="15"/>
      <c r="G125" s="5"/>
    </row>
    <row r="126" spans="1:56" x14ac:dyDescent="0.25">
      <c r="C126" s="5"/>
      <c r="G126" s="5"/>
    </row>
    <row r="127" spans="1:56" x14ac:dyDescent="0.25">
      <c r="C127" s="11"/>
      <c r="D127" s="11"/>
      <c r="E127" s="15"/>
      <c r="F127" s="11"/>
      <c r="G127" s="11"/>
      <c r="H127" s="11"/>
      <c r="I127" s="11"/>
      <c r="J127" s="11"/>
      <c r="K127" s="11"/>
      <c r="L127" s="11"/>
    </row>
    <row r="128" spans="1:56" x14ac:dyDescent="0.25">
      <c r="J128" s="4"/>
      <c r="K128" s="4"/>
      <c r="L128" s="4"/>
    </row>
    <row r="129" spans="3:10" x14ac:dyDescent="0.25">
      <c r="C129" s="5"/>
      <c r="G129" s="5"/>
    </row>
    <row r="130" spans="3:10" x14ac:dyDescent="0.25">
      <c r="C130" s="5"/>
      <c r="E130" s="15"/>
      <c r="G130" s="5"/>
      <c r="J130" s="15"/>
    </row>
    <row r="131" spans="3:10" x14ac:dyDescent="0.25">
      <c r="C131" s="5"/>
      <c r="E131" s="5"/>
      <c r="G131" s="5"/>
    </row>
    <row r="132" spans="3:10" x14ac:dyDescent="0.25">
      <c r="C132" s="5"/>
      <c r="E132" s="5"/>
      <c r="G132" s="5"/>
    </row>
    <row r="133" spans="3:10" x14ac:dyDescent="0.25">
      <c r="C133" s="15"/>
      <c r="E133" s="5"/>
      <c r="G133" s="5"/>
    </row>
    <row r="134" spans="3:10" x14ac:dyDescent="0.25">
      <c r="C134" s="5"/>
      <c r="E134" s="5"/>
      <c r="G134" s="5"/>
    </row>
    <row r="135" spans="3:10" x14ac:dyDescent="0.25">
      <c r="C135" s="5"/>
      <c r="E135" s="5"/>
      <c r="G135" s="5"/>
    </row>
    <row r="136" spans="3:10" x14ac:dyDescent="0.25">
      <c r="C136" s="5"/>
      <c r="E136" s="5"/>
      <c r="G136" s="5"/>
    </row>
    <row r="137" spans="3:10" x14ac:dyDescent="0.25">
      <c r="C137" s="5"/>
      <c r="G137" s="5"/>
    </row>
    <row r="138" spans="3:10" x14ac:dyDescent="0.25">
      <c r="C138" s="5"/>
      <c r="G138" s="5"/>
    </row>
    <row r="139" spans="3:10" x14ac:dyDescent="0.25">
      <c r="C139" s="5"/>
      <c r="G139" s="5"/>
    </row>
    <row r="140" spans="3:10" x14ac:dyDescent="0.25">
      <c r="C140" s="5"/>
      <c r="G140" s="5"/>
    </row>
    <row r="141" spans="3:10" x14ac:dyDescent="0.25">
      <c r="C141" s="5"/>
      <c r="G141" s="5"/>
    </row>
    <row r="142" spans="3:10" x14ac:dyDescent="0.25">
      <c r="C142" s="5"/>
      <c r="G142" s="5"/>
    </row>
    <row r="143" spans="3:10" x14ac:dyDescent="0.25">
      <c r="C143" s="5"/>
      <c r="G143" s="5"/>
    </row>
    <row r="144" spans="3:10" x14ac:dyDescent="0.25">
      <c r="G144" s="5"/>
    </row>
    <row r="145" spans="7:7" x14ac:dyDescent="0.25">
      <c r="G145" s="5"/>
    </row>
    <row r="146" spans="7:7" x14ac:dyDescent="0.25">
      <c r="G146" s="5"/>
    </row>
    <row r="147" spans="7:7" x14ac:dyDescent="0.25">
      <c r="G147" s="5"/>
    </row>
    <row r="148" spans="7:7" x14ac:dyDescent="0.25">
      <c r="G148" s="5"/>
    </row>
  </sheetData>
  <mergeCells count="98">
    <mergeCell ref="N3:N5"/>
    <mergeCell ref="A1:B2"/>
    <mergeCell ref="C1:AO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J5"/>
    <mergeCell ref="K3:K5"/>
    <mergeCell ref="L3:L5"/>
    <mergeCell ref="M3:M5"/>
    <mergeCell ref="Z3:Z5"/>
    <mergeCell ref="O3:O5"/>
    <mergeCell ref="P3:P5"/>
    <mergeCell ref="Q3:Q5"/>
    <mergeCell ref="R3:R5"/>
    <mergeCell ref="S3:S5"/>
    <mergeCell ref="T3:T5"/>
    <mergeCell ref="U3:U5"/>
    <mergeCell ref="V3:V5"/>
    <mergeCell ref="W3:W5"/>
    <mergeCell ref="X3:X5"/>
    <mergeCell ref="Y3:Y5"/>
    <mergeCell ref="AL3:AL5"/>
    <mergeCell ref="AA3:AA5"/>
    <mergeCell ref="AB3:AB5"/>
    <mergeCell ref="AC3:AC5"/>
    <mergeCell ref="AD3:AD5"/>
    <mergeCell ref="AE3:AE5"/>
    <mergeCell ref="AF3:AF5"/>
    <mergeCell ref="AU3:AU5"/>
    <mergeCell ref="AV3:AV5"/>
    <mergeCell ref="AW3:AW5"/>
    <mergeCell ref="AX3:AX5"/>
    <mergeCell ref="AY3:AY5"/>
    <mergeCell ref="A6:A8"/>
    <mergeCell ref="AM6:AM8"/>
    <mergeCell ref="AN6:AN8"/>
    <mergeCell ref="AO6:AO8"/>
    <mergeCell ref="AT3:AT5"/>
    <mergeCell ref="AM3:AM5"/>
    <mergeCell ref="AN3:AN5"/>
    <mergeCell ref="AO3:AO5"/>
    <mergeCell ref="AQ3:AQ5"/>
    <mergeCell ref="AR3:AR5"/>
    <mergeCell ref="AS3:AS5"/>
    <mergeCell ref="AG3:AG5"/>
    <mergeCell ref="AH3:AH5"/>
    <mergeCell ref="AI3:AI5"/>
    <mergeCell ref="AJ3:AJ5"/>
    <mergeCell ref="AK3:AK5"/>
    <mergeCell ref="AZ3:AZ5"/>
    <mergeCell ref="BA3:BA5"/>
    <mergeCell ref="BB3:BB5"/>
    <mergeCell ref="BC3:BC5"/>
    <mergeCell ref="BD3:BD5"/>
    <mergeCell ref="A9:A11"/>
    <mergeCell ref="AM9:AM11"/>
    <mergeCell ref="AN9:AN11"/>
    <mergeCell ref="AO9:AO11"/>
    <mergeCell ref="A12:A14"/>
    <mergeCell ref="AM12:AM14"/>
    <mergeCell ref="AN12:AN14"/>
    <mergeCell ref="AO12:AO14"/>
    <mergeCell ref="A15:A17"/>
    <mergeCell ref="AM15:AM17"/>
    <mergeCell ref="AN15:AN17"/>
    <mergeCell ref="AO15:AO17"/>
    <mergeCell ref="A18:A20"/>
    <mergeCell ref="AM18:AM20"/>
    <mergeCell ref="AN18:AN20"/>
    <mergeCell ref="AO18:AO20"/>
    <mergeCell ref="A21:A23"/>
    <mergeCell ref="AM21:AM23"/>
    <mergeCell ref="AN21:AN23"/>
    <mergeCell ref="AO21:AO23"/>
    <mergeCell ref="A24:A26"/>
    <mergeCell ref="AM24:AM26"/>
    <mergeCell ref="AN24:AN26"/>
    <mergeCell ref="AO24:AO26"/>
    <mergeCell ref="A27:A29"/>
    <mergeCell ref="AM27:AM29"/>
    <mergeCell ref="AN27:AN29"/>
    <mergeCell ref="AO27:AO29"/>
    <mergeCell ref="A30:A32"/>
    <mergeCell ref="AM30:AM32"/>
    <mergeCell ref="AN30:AN32"/>
    <mergeCell ref="AO30:AO32"/>
    <mergeCell ref="A33:A35"/>
    <mergeCell ref="AM33:AM35"/>
    <mergeCell ref="AN33:AN35"/>
    <mergeCell ref="AO33:AO35"/>
    <mergeCell ref="C121:L12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660C-275C-4F8B-AE59-3E514A6E52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</vt:vector>
  </HeadingPairs>
  <TitlesOfParts>
    <vt:vector size="8" baseType="lpstr">
      <vt:lpstr>Drivers</vt:lpstr>
      <vt:lpstr>Red Fantasy Standings</vt:lpstr>
      <vt:lpstr>White Fantasy Standings</vt:lpstr>
      <vt:lpstr>Blue Fantasy Standings</vt:lpstr>
      <vt:lpstr>Sheet1</vt:lpstr>
      <vt:lpstr>Leader Board Red</vt:lpstr>
      <vt:lpstr>Leader Board White</vt:lpstr>
      <vt:lpstr>Leader Board 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</dc:creator>
  <cp:lastModifiedBy>Michael Gehman</cp:lastModifiedBy>
  <cp:lastPrinted>2015-02-14T16:48:07Z</cp:lastPrinted>
  <dcterms:created xsi:type="dcterms:W3CDTF">2010-02-02T00:40:57Z</dcterms:created>
  <dcterms:modified xsi:type="dcterms:W3CDTF">2026-07-18T16:38:37Z</dcterms:modified>
</cp:coreProperties>
</file>