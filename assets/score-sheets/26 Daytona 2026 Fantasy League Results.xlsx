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5"/>
    <sheet state="visible" name="Red Fantasy Standings" sheetId="2" r:id="rId6"/>
    <sheet state="visible" name="Leader Board Red" sheetId="3" r:id="rId7"/>
    <sheet state="visible" name="White Fantasy Standings" sheetId="4" r:id="rId8"/>
    <sheet state="visible" name="Leader Board White" sheetId="5" r:id="rId9"/>
    <sheet state="visible" name="Blue Fantasy Standings" sheetId="6" r:id="rId10"/>
    <sheet state="visible" name="Leader Board Blue" sheetId="7" r:id="rId11"/>
    <sheet state="visible" name="Sheet1" sheetId="8" r:id="rId12"/>
  </sheets>
  <definedNames/>
  <calcPr/>
</workbook>
</file>

<file path=xl/sharedStrings.xml><?xml version="1.0" encoding="utf-8"?>
<sst xmlns="http://schemas.openxmlformats.org/spreadsheetml/2006/main" count="299" uniqueCount="134">
  <si>
    <t>Car #</t>
  </si>
  <si>
    <t xml:space="preserve">RED Fantasy Nascar League </t>
  </si>
  <si>
    <t>Driver</t>
  </si>
  <si>
    <t>Race 01</t>
  </si>
  <si>
    <t>Race 02</t>
  </si>
  <si>
    <t>Race 03</t>
  </si>
  <si>
    <t>Race 04</t>
  </si>
  <si>
    <t>Race 05</t>
  </si>
  <si>
    <t xml:space="preserve">White Fantasy Nascar League </t>
  </si>
  <si>
    <t>Race 06</t>
  </si>
  <si>
    <t>Race 07</t>
  </si>
  <si>
    <t>Race 08</t>
  </si>
  <si>
    <t>Race 09</t>
  </si>
  <si>
    <t>Race 10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</si>
  <si>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</si>
  <si>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</si>
  <si>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</si>
  <si>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</si>
  <si>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</si>
  <si>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</si>
  <si>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</si>
  <si>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</si>
  <si>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</si>
  <si>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</si>
  <si>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Owner</t>
  </si>
  <si>
    <t>Race 21</t>
  </si>
  <si>
    <t>Race 22</t>
  </si>
  <si>
    <t>Race 23</t>
  </si>
  <si>
    <t>Race 24</t>
  </si>
  <si>
    <t>Race 25</t>
  </si>
  <si>
    <t>Race 26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</si>
  <si>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</si>
  <si>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</si>
  <si>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</si>
  <si>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</si>
  <si>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</si>
  <si>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</si>
  <si>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</si>
  <si>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</si>
  <si>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Race 35</t>
  </si>
  <si>
    <t>Race 36</t>
  </si>
  <si>
    <t>Total</t>
  </si>
  <si>
    <t>Red League</t>
  </si>
  <si>
    <t>White League</t>
  </si>
  <si>
    <t>Blue League</t>
  </si>
  <si>
    <t>Drivers</t>
  </si>
  <si>
    <t>R. Chastain</t>
  </si>
  <si>
    <t>Points</t>
  </si>
  <si>
    <t>Ranking</t>
  </si>
  <si>
    <t>AVG</t>
  </si>
  <si>
    <t xml:space="preserve">Dehaven  </t>
  </si>
  <si>
    <t>Elliott</t>
  </si>
  <si>
    <t>Dustin</t>
  </si>
  <si>
    <t>Briscoe</t>
  </si>
  <si>
    <t>Carole</t>
  </si>
  <si>
    <t>A. Cindric</t>
  </si>
  <si>
    <t>Reddick</t>
  </si>
  <si>
    <t>Logano</t>
  </si>
  <si>
    <t>A. Dillon</t>
  </si>
  <si>
    <t>N. Gragson</t>
  </si>
  <si>
    <t>Gehman (1)</t>
  </si>
  <si>
    <t>Byron</t>
  </si>
  <si>
    <t>Derrick</t>
  </si>
  <si>
    <t>Bell</t>
  </si>
  <si>
    <t>Butch</t>
  </si>
  <si>
    <t>K. Larson</t>
  </si>
  <si>
    <t>Buscher</t>
  </si>
  <si>
    <t>Van Gisbergen</t>
  </si>
  <si>
    <t>B. Kezelowski</t>
  </si>
  <si>
    <t>Dainel Suarez</t>
  </si>
  <si>
    <t>Hackman</t>
  </si>
  <si>
    <t>Kevin</t>
  </si>
  <si>
    <t>Larson</t>
  </si>
  <si>
    <t>Jason</t>
  </si>
  <si>
    <t>K. Busch</t>
  </si>
  <si>
    <t>Wallace</t>
  </si>
  <si>
    <t>C. Elliot</t>
  </si>
  <si>
    <t>T. Dillon</t>
  </si>
  <si>
    <t>Tony (1)</t>
  </si>
  <si>
    <t>Gehr (1)</t>
  </si>
  <si>
    <t>Shenk</t>
  </si>
  <si>
    <t>Hamlin</t>
  </si>
  <si>
    <t>D. Hamlin</t>
  </si>
  <si>
    <t>Hosevar</t>
  </si>
  <si>
    <t>Gibbs</t>
  </si>
  <si>
    <t>R. Blaney</t>
  </si>
  <si>
    <t xml:space="preserve">T. Brown </t>
  </si>
  <si>
    <t>Gass</t>
  </si>
  <si>
    <t>Devin  (1)</t>
  </si>
  <si>
    <t>Sasko</t>
  </si>
  <si>
    <t>A. Allmedinger</t>
  </si>
  <si>
    <t>C. Buscher</t>
  </si>
  <si>
    <t>C. Briscoe</t>
  </si>
  <si>
    <t>Kilhefner (3)</t>
  </si>
  <si>
    <t>Blaney</t>
  </si>
  <si>
    <t>Jack-n-Bob</t>
  </si>
  <si>
    <t>Conner Z.</t>
  </si>
  <si>
    <t>Kyle (1)</t>
  </si>
  <si>
    <t>C. Bell</t>
  </si>
  <si>
    <t>Chastain</t>
  </si>
  <si>
    <t>E. Jones</t>
  </si>
  <si>
    <t>J. Berry</t>
  </si>
  <si>
    <t>J. Lagano</t>
  </si>
  <si>
    <t>Dani(1)</t>
  </si>
  <si>
    <t>Ray (2)</t>
  </si>
  <si>
    <t>Burrey (2)</t>
  </si>
  <si>
    <t>B. Wallace</t>
  </si>
  <si>
    <t>Bubba</t>
  </si>
  <si>
    <t>W. Byron</t>
  </si>
  <si>
    <t>D. Hemric</t>
  </si>
  <si>
    <t>A</t>
  </si>
  <si>
    <t>Rob</t>
  </si>
  <si>
    <t>A. Hill</t>
  </si>
  <si>
    <t>B</t>
  </si>
  <si>
    <t>T. Gilliland</t>
  </si>
  <si>
    <t>R. Herbst</t>
  </si>
  <si>
    <t>Z. Smith</t>
  </si>
  <si>
    <t>C. Custer</t>
  </si>
  <si>
    <t>J. Nemecheck</t>
  </si>
  <si>
    <t>JJ Yeley</t>
  </si>
  <si>
    <t>T. Reddick</t>
  </si>
  <si>
    <t>R. Stenhouse Jr.</t>
  </si>
  <si>
    <t>A. Bowman</t>
  </si>
  <si>
    <t>B Myers</t>
  </si>
  <si>
    <t>C Ware</t>
  </si>
  <si>
    <t>T. Gibbs</t>
  </si>
  <si>
    <t>R. Prece</t>
  </si>
  <si>
    <t>M. McDowell</t>
  </si>
  <si>
    <t>C. Hosevar</t>
  </si>
  <si>
    <t>K Legge</t>
  </si>
  <si>
    <t>J. Johnson</t>
  </si>
  <si>
    <t>C Zilisch</t>
  </si>
  <si>
    <t>S. Van Gisbergen</t>
  </si>
  <si>
    <t xml:space="preserve">Blue Fantasy Nascar League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</si>
</sst>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\$#,##0.00"/>
  </numFmts>
  <fonts count="24">
    <font>
      <sz val="11.0"/>
      <color theme="1"/>
      <name val="Calibri"/>
      <scheme val="minor"/>
    </font>
    <font>
      <sz val="16.0"/>
      <color rgb="FFC00000"/>
      <name val="Courgette"/>
    </font>
    <font/>
    <font>
      <b/>
      <sz val="8.0"/>
      <color theme="0"/>
      <name val="Calibri"/>
    </font>
    <font>
      <b/>
      <sz val="10.0"/>
      <color theme="0"/>
      <name val="Calibri"/>
    </font>
    <font>
      <sz val="16.0"/>
      <color rgb="FFC4BD97"/>
      <name val="Courgette"/>
    </font>
    <font>
      <sz val="16.0"/>
      <color theme="1"/>
      <name val="Courgette"/>
    </font>
    <font>
      <sz val="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7.0"/>
      <color theme="0"/>
      <name val="Calibri"/>
    </font>
    <font>
      <b/>
      <sz val="8.0"/>
      <color theme="1"/>
      <name val="Calibri"/>
    </font>
    <font>
      <sz val="8.0"/>
      <color theme="0"/>
      <name val="Calibri"/>
    </font>
    <font>
      <sz val="9.0"/>
      <color theme="1"/>
      <name val="Calibri"/>
    </font>
    <font>
      <sz val="10.0"/>
      <color theme="1"/>
      <name val="Calibri"/>
    </font>
    <font>
      <sz val="8.0"/>
      <color rgb="FFC0000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sz val="8.0"/>
      <color rgb="FFFF0000"/>
      <name val="Calibri"/>
    </font>
    <font>
      <u/>
      <sz val="8.0"/>
      <color theme="0"/>
      <name val="Calibri"/>
    </font>
    <font>
      <b/>
      <u/>
      <sz val="8.0"/>
      <color theme="0"/>
      <name val="Calibri"/>
    </font>
    <font>
      <b/>
      <u/>
      <sz val="8.0"/>
      <color theme="0"/>
      <name val="Calibri"/>
    </font>
    <font>
      <sz val="8.0"/>
      <color theme="1"/>
      <name val="Arial"/>
    </font>
    <font>
      <b/>
      <u/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</fills>
  <borders count="66">
    <border/>
    <border>
      <left/>
      <top/>
    </border>
    <border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/>
      <top/>
      <bottom/>
    </border>
    <border>
      <left/>
      <bottom style="medium">
        <color rgb="FF000000"/>
      </bottom>
    </border>
    <border>
      <righ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/>
      <top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textRotation="90" vertical="center" wrapText="0"/>
    </xf>
    <xf borderId="4" fillId="0" fontId="2" numFmtId="0" xfId="0" applyBorder="1" applyFont="1"/>
    <xf borderId="5" fillId="3" fontId="4" numFmtId="0" xfId="0" applyAlignment="1" applyBorder="1" applyFill="1" applyFont="1">
      <alignment horizontal="center" shrinkToFit="0" textRotation="68" vertical="center" wrapText="0"/>
    </xf>
    <xf borderId="6" fillId="3" fontId="4" numFmtId="0" xfId="0" applyAlignment="1" applyBorder="1" applyFill="1" applyFont="1">
      <alignment horizontal="center" shrinkToFit="0" textRotation="68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7" fillId="2" fontId="6" numFmtId="0" xfId="0" applyAlignment="1" applyBorder="1" applyFill="1" applyFont="1">
      <alignment horizontal="center" shrinkToFit="0" vertical="center" wrapText="0"/>
    </xf>
    <xf borderId="7" fillId="2" fontId="7" numFmtId="0" xfId="0" applyAlignment="1" applyBorder="1" applyFill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ill="1" applyFont="1">
      <alignment horizontal="left" shrinkToFit="0" textRotation="90" vertical="center" wrapText="0"/>
    </xf>
    <xf borderId="12" fillId="3" fontId="4" numFmtId="0" xfId="0" applyAlignment="1" applyBorder="1" applyFill="1" applyFont="1">
      <alignment horizontal="center" shrinkToFit="0" textRotation="68" vertical="center" wrapText="0"/>
    </xf>
    <xf borderId="0" fillId="0" fontId="8" numFmtId="0" xfId="0" applyAlignment="1" applyFont="1">
      <alignment shrinkToFit="0" vertical="bottom" wrapText="0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8" numFmtId="0" xfId="0" applyAlignment="1" applyFont="1">
      <alignment horizontal="center" shrinkToFit="0" vertical="bottom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horizontal="center" shrinkToFit="0" vertical="bottom" wrapText="0"/>
    </xf>
    <xf borderId="21" fillId="4" fontId="9" numFmtId="0" xfId="0" applyAlignment="1" applyBorder="1" applyFill="1" applyFont="1">
      <alignment horizontal="center" shrinkToFit="0" vertical="bottom" wrapText="0"/>
    </xf>
    <xf borderId="21" fillId="0" fontId="8" numFmtId="0" xfId="0" applyAlignment="1" applyBorder="1" applyFont="1">
      <alignment shrinkToFit="0" vertical="bottom" wrapText="0"/>
    </xf>
    <xf borderId="11" fillId="3" fontId="10" numFmtId="0" xfId="0" applyAlignment="1" applyBorder="1" applyFill="1" applyFont="1">
      <alignment horizontal="center" shrinkToFit="0" textRotation="90" vertical="center" wrapText="1"/>
    </xf>
    <xf borderId="3" fillId="3" fontId="10" numFmtId="0" xfId="0" applyAlignment="1" applyBorder="1" applyFill="1" applyFont="1">
      <alignment horizontal="center" shrinkToFit="0" textRotation="90" vertical="center" wrapText="1"/>
    </xf>
    <xf borderId="22" fillId="3" fontId="10" numFmtId="0" xfId="0" applyAlignment="1" applyBorder="1" applyFill="1" applyFont="1">
      <alignment horizontal="center" shrinkToFit="0" textRotation="90" vertical="center" wrapText="1"/>
    </xf>
    <xf borderId="7" fillId="2" fontId="10" numFmtId="0" xfId="0" applyAlignment="1" applyBorder="1" applyFill="1" applyFont="1">
      <alignment horizontal="center" shrinkToFit="0" textRotation="90" vertical="center" wrapText="1"/>
    </xf>
    <xf borderId="23" fillId="2" fontId="11" numFmtId="0" xfId="0" applyAlignment="1" applyBorder="1" applyFill="1" applyFont="1">
      <alignment horizontal="left" shrinkToFit="0" textRotation="90" vertical="bottom" wrapText="0"/>
    </xf>
    <xf borderId="24" fillId="0" fontId="7" numFmtId="0" xfId="0" applyAlignment="1" applyBorder="1" applyFont="1">
      <alignment horizontal="center" shrinkToFit="0" vertical="center" wrapText="0"/>
    </xf>
    <xf borderId="21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5" fillId="0" fontId="2" numFmtId="0" xfId="0" applyBorder="1" applyFont="1"/>
    <xf borderId="21" fillId="2" fontId="9" numFmtId="0" xfId="0" applyAlignment="1" applyBorder="1" applyFill="1" applyFont="1">
      <alignment horizontal="center" shrinkToFit="0" vertical="bottom" wrapText="0"/>
    </xf>
    <xf borderId="26" fillId="0" fontId="8" numFmtId="0" xfId="0" applyAlignment="1" applyBorder="1" applyFont="1">
      <alignment shrinkToFit="0" vertical="center" wrapText="0"/>
    </xf>
    <xf borderId="27" fillId="0" fontId="2" numFmtId="0" xfId="0" applyBorder="1" applyFont="1"/>
    <xf borderId="26" fillId="0" fontId="8" numFmtId="0" xfId="0" applyAlignment="1" applyBorder="1" applyFont="1">
      <alignment shrinkToFit="0" vertical="bottom" wrapText="0"/>
    </xf>
    <xf borderId="26" fillId="0" fontId="7" numFmtId="0" xfId="0" applyAlignment="1" applyBorder="1" applyFont="1">
      <alignment shrinkToFit="0" vertical="bottom" wrapText="0"/>
    </xf>
    <xf borderId="26" fillId="0" fontId="7" numFmtId="0" xfId="0" applyAlignment="1" applyBorder="1" applyFont="1">
      <alignment horizontal="center" shrinkToFit="0" vertical="bottom" wrapText="0"/>
    </xf>
    <xf borderId="28" fillId="0" fontId="7" numFmtId="0" xfId="0" applyAlignment="1" applyBorder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3" fontId="12" numFmtId="0" xfId="0" applyAlignment="1" applyBorder="1" applyFill="1" applyFont="1">
      <alignment horizontal="center" shrinkToFit="0" textRotation="90" vertical="center" wrapText="0"/>
    </xf>
    <xf borderId="40" fillId="3" fontId="12" numFmtId="0" xfId="0" applyAlignment="1" applyBorder="1" applyFill="1" applyFont="1">
      <alignment horizontal="center"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40" fillId="2" fontId="11" numFmtId="0" xfId="0" applyAlignment="1" applyBorder="1" applyFill="1" applyFont="1">
      <alignment horizontal="center" shrinkToFit="0" vertical="bottom" wrapText="0"/>
    </xf>
    <xf borderId="41" fillId="0" fontId="7" numFmtId="0" xfId="0" applyAlignment="1" applyBorder="1" applyFont="1">
      <alignment shrinkToFit="0" vertical="center" wrapText="0"/>
    </xf>
    <xf borderId="42" fillId="0" fontId="7" numFmtId="0" xfId="0" applyAlignment="1" applyBorder="1" applyFont="1">
      <alignment shrinkToFit="0" vertical="bottom" wrapText="0"/>
    </xf>
    <xf borderId="26" fillId="0" fontId="7" numFmtId="0" xfId="0" applyAlignment="1" applyBorder="1" applyFont="1">
      <alignment shrinkToFit="0" vertical="center" wrapText="0"/>
    </xf>
    <xf borderId="43" fillId="3" fontId="12" numFmtId="0" xfId="0" applyAlignment="1" applyBorder="1" applyFill="1" applyFont="1">
      <alignment horizontal="center" shrinkToFit="0" vertical="bottom" wrapText="1"/>
    </xf>
    <xf borderId="3" fillId="3" fontId="3" numFmtId="0" xfId="0" applyAlignment="1" applyBorder="1" applyFill="1" applyFont="1">
      <alignment horizontal="center" shrinkToFit="0" vertical="bottom" wrapText="0"/>
    </xf>
    <xf borderId="3" fillId="3" fontId="12" numFmtId="164" xfId="0" applyAlignment="1" applyBorder="1" applyFill="1" applyFont="1" applyNumberFormat="1">
      <alignment horizontal="center" shrinkToFit="0" vertical="bottom" wrapText="0"/>
    </xf>
    <xf borderId="44" fillId="0" fontId="2" numFmtId="0" xfId="0" applyBorder="1" applyFont="1"/>
    <xf borderId="40" fillId="2" fontId="7" numFmtId="0" xfId="0" applyAlignment="1" applyBorder="1" applyFill="1" applyFont="1">
      <alignment horizontal="center" shrinkToFit="0" vertical="bottom" wrapText="1"/>
    </xf>
    <xf borderId="45" fillId="0" fontId="13" numFmtId="0" xfId="0" applyAlignment="1" applyBorder="1" applyFont="1">
      <alignment horizontal="center" shrinkToFit="0" vertical="bottom" wrapText="0"/>
    </xf>
    <xf borderId="45" fillId="0" fontId="14" numFmtId="0" xfId="0" applyAlignment="1" applyBorder="1" applyFont="1">
      <alignment horizontal="center" shrinkToFit="0" vertical="bottom" wrapText="0"/>
    </xf>
    <xf borderId="46" fillId="0" fontId="2" numFmtId="0" xfId="0" applyBorder="1" applyFont="1"/>
    <xf borderId="40" fillId="2" fontId="15" numFmtId="0" xfId="0" applyAlignment="1" applyBorder="1" applyFill="1" applyFont="1">
      <alignment horizontal="center" shrinkToFit="0" vertical="bottom" wrapText="1"/>
    </xf>
    <xf borderId="45" fillId="0" fontId="16" numFmtId="0" xfId="0" applyAlignment="1" applyBorder="1" applyFont="1">
      <alignment horizontal="center" shrinkToFit="0" vertical="bottom" wrapText="0"/>
    </xf>
    <xf borderId="47" fillId="2" fontId="15" numFmtId="0" xfId="0" applyAlignment="1" applyBorder="1" applyFill="1" applyFont="1">
      <alignment horizontal="center" shrinkToFit="0" vertical="bottom" wrapText="1"/>
    </xf>
    <xf borderId="21" fillId="0" fontId="9" numFmtId="0" xfId="0" applyAlignment="1" applyBorder="1" applyFont="1">
      <alignment horizontal="center" shrinkToFit="0" vertical="bottom" wrapText="0"/>
    </xf>
    <xf borderId="45" fillId="0" fontId="9" numFmtId="0" xfId="0" applyAlignment="1" applyBorder="1" applyFont="1">
      <alignment horizontal="center" shrinkToFit="0" vertical="bottom" wrapText="0"/>
    </xf>
    <xf borderId="48" fillId="2" fontId="15" numFmtId="0" xfId="0" applyAlignment="1" applyBorder="1" applyFill="1" applyFont="1">
      <alignment horizontal="center" shrinkToFit="0" vertical="bottom" wrapText="1"/>
    </xf>
    <xf borderId="49" fillId="0" fontId="2" numFmtId="0" xfId="0" applyBorder="1" applyFont="1"/>
    <xf borderId="7" fillId="2" fontId="7" numFmtId="0" xfId="0" applyAlignment="1" applyBorder="1" applyFill="1" applyFont="1">
      <alignment horizontal="center" shrinkToFit="0" vertical="bottom" wrapText="1"/>
    </xf>
    <xf borderId="21" fillId="0" fontId="17" numFmtId="0" xfId="0" applyAlignment="1" applyBorder="1" applyFont="1">
      <alignment horizontal="center" shrinkToFit="0" vertical="bottom" wrapText="0"/>
    </xf>
    <xf borderId="50" fillId="3" fontId="12" numFmtId="0" xfId="0" applyAlignment="1" applyBorder="1" applyFill="1" applyFont="1">
      <alignment horizontal="center" shrinkToFit="0" textRotation="90" vertical="center" wrapText="0"/>
    </xf>
    <xf borderId="51" fillId="3" fontId="12" numFmtId="0" xfId="0" applyAlignment="1" applyBorder="1" applyFill="1" applyFont="1">
      <alignment horizontal="center" shrinkToFit="0" vertical="bottom" wrapText="0"/>
    </xf>
    <xf borderId="51" fillId="2" fontId="11" numFmtId="0" xfId="0" applyAlignment="1" applyBorder="1" applyFill="1" applyFont="1">
      <alignment horizontal="center" shrinkToFit="0" vertical="bottom" wrapText="0"/>
    </xf>
    <xf borderId="52" fillId="3" fontId="12" numFmtId="0" xfId="0" applyAlignment="1" applyBorder="1" applyFill="1" applyFont="1">
      <alignment horizontal="center" shrinkToFit="0" vertical="bottom" wrapText="1"/>
    </xf>
    <xf borderId="52" fillId="3" fontId="3" numFmtId="0" xfId="0" applyAlignment="1" applyBorder="1" applyFill="1" applyFont="1">
      <alignment horizontal="center" shrinkToFit="0" vertical="bottom" wrapText="0"/>
    </xf>
    <xf borderId="40" fillId="3" fontId="18" numFmtId="0" xfId="0" applyAlignment="1" applyBorder="1" applyFill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center" wrapText="0"/>
    </xf>
    <xf borderId="53" fillId="3" fontId="3" numFmtId="0" xfId="0" applyAlignment="1" applyBorder="1" applyFill="1" applyFont="1">
      <alignment horizontal="center" shrinkToFit="0" vertical="bottom" wrapText="0"/>
    </xf>
    <xf borderId="53" fillId="2" fontId="15" numFmtId="0" xfId="0" applyAlignment="1" applyBorder="1" applyFill="1" applyFont="1">
      <alignment horizontal="center" shrinkToFit="0" vertical="bottom" wrapText="1"/>
    </xf>
    <xf borderId="54" fillId="2" fontId="15" numFmtId="0" xfId="0" applyAlignment="1" applyBorder="1" applyFill="1" applyFont="1">
      <alignment horizontal="center" shrinkToFit="0" vertical="bottom" wrapText="1"/>
    </xf>
    <xf borderId="55" fillId="2" fontId="15" numFmtId="0" xfId="0" applyAlignment="1" applyBorder="1" applyFill="1" applyFont="1">
      <alignment horizontal="center" shrinkToFit="0" vertical="bottom" wrapText="1"/>
    </xf>
    <xf borderId="43" fillId="3" fontId="3" numFmtId="0" xfId="0" applyAlignment="1" applyBorder="1" applyFill="1" applyFont="1">
      <alignment horizontal="center" shrinkToFit="0" vertical="bottom" wrapText="0"/>
    </xf>
    <xf borderId="53" fillId="3" fontId="12" numFmtId="0" xfId="0" applyAlignment="1" applyBorder="1" applyFill="1" applyFont="1">
      <alignment horizontal="center" shrinkToFit="0" vertical="bottom" wrapText="0"/>
    </xf>
    <xf borderId="40" fillId="2" fontId="18" numFmtId="0" xfId="0" applyAlignment="1" applyBorder="1" applyFill="1" applyFont="1">
      <alignment horizontal="center" shrinkToFit="0" vertical="bottom" wrapText="1"/>
    </xf>
    <xf borderId="51" fillId="3" fontId="3" numFmtId="0" xfId="0" applyAlignment="1" applyBorder="1" applyFill="1" applyFont="1">
      <alignment horizontal="center" shrinkToFit="0" vertical="bottom" wrapText="0"/>
    </xf>
    <xf borderId="56" fillId="2" fontId="11" numFmtId="0" xfId="0" applyAlignment="1" applyBorder="1" applyFill="1" applyFont="1">
      <alignment horizontal="center" shrinkToFit="0" vertical="bottom" wrapText="0"/>
    </xf>
    <xf borderId="51" fillId="2" fontId="7" numFmtId="0" xfId="0" applyAlignment="1" applyBorder="1" applyFill="1" applyFont="1">
      <alignment horizontal="center" shrinkToFit="0" vertical="bottom" wrapText="0"/>
    </xf>
    <xf borderId="56" fillId="2" fontId="7" numFmtId="0" xfId="0" applyAlignment="1" applyBorder="1" applyFill="1" applyFont="1">
      <alignment horizontal="center" shrinkToFit="0" vertical="bottom" wrapText="0"/>
    </xf>
    <xf borderId="51" fillId="2" fontId="14" numFmtId="0" xfId="0" applyAlignment="1" applyBorder="1" applyFill="1" applyFont="1">
      <alignment horizontal="center" shrinkToFit="0" vertical="bottom" wrapText="0"/>
    </xf>
    <xf borderId="57" fillId="2" fontId="7" numFmtId="0" xfId="0" applyAlignment="1" applyBorder="1" applyFill="1" applyFont="1">
      <alignment shrinkToFit="0" vertical="bottom" wrapText="0"/>
    </xf>
    <xf borderId="47" fillId="2" fontId="7" numFmtId="0" xfId="0" applyAlignment="1" applyBorder="1" applyFill="1" applyFont="1">
      <alignment horizontal="center" shrinkToFit="0" vertical="bottom" wrapText="1"/>
    </xf>
    <xf borderId="40" fillId="2" fontId="7" numFmtId="0" xfId="0" applyAlignment="1" applyBorder="1" applyFill="1" applyFont="1">
      <alignment horizontal="center" shrinkToFit="0" vertical="bottom" wrapText="0"/>
    </xf>
    <xf borderId="47" fillId="2" fontId="7" numFmtId="0" xfId="0" applyAlignment="1" applyBorder="1" applyFill="1" applyFont="1">
      <alignment horizontal="center" shrinkToFit="0" vertical="bottom" wrapText="0"/>
    </xf>
    <xf borderId="40" fillId="2" fontId="14" numFmtId="0" xfId="0" applyAlignment="1" applyBorder="1" applyFill="1" applyFont="1">
      <alignment horizontal="center" shrinkToFit="0" vertical="bottom" wrapText="0"/>
    </xf>
    <xf borderId="48" fillId="2" fontId="7" numFmtId="0" xfId="0" applyAlignment="1" applyBorder="1" applyFill="1" applyFont="1">
      <alignment shrinkToFit="0" vertical="bottom" wrapText="0"/>
    </xf>
    <xf borderId="58" fillId="3" fontId="12" numFmtId="0" xfId="0" applyAlignment="1" applyBorder="1" applyFill="1" applyFont="1">
      <alignment horizontal="center" shrinkToFit="0" textRotation="90" vertical="center" wrapText="0"/>
    </xf>
    <xf borderId="51" fillId="2" fontId="7" numFmtId="0" xfId="0" applyAlignment="1" applyBorder="1" applyFill="1" applyFont="1">
      <alignment shrinkToFit="0" vertical="bottom" wrapText="0"/>
    </xf>
    <xf borderId="56" fillId="2" fontId="7" numFmtId="0" xfId="0" applyAlignment="1" applyBorder="1" applyFill="1" applyFont="1">
      <alignment shrinkToFit="0" vertical="bottom" wrapText="0"/>
    </xf>
    <xf borderId="51" fillId="2" fontId="14" numFmtId="0" xfId="0" applyAlignment="1" applyBorder="1" applyFill="1" applyFont="1">
      <alignment shrinkToFit="0" vertical="bottom" wrapText="0"/>
    </xf>
    <xf borderId="40" fillId="2" fontId="7" numFmtId="0" xfId="0" applyAlignment="1" applyBorder="1" applyFill="1" applyFont="1">
      <alignment shrinkToFit="0" vertical="bottom" wrapText="0"/>
    </xf>
    <xf borderId="47" fillId="2" fontId="7" numFmtId="0" xfId="0" applyAlignment="1" applyBorder="1" applyFill="1" applyFont="1">
      <alignment shrinkToFit="0" vertical="bottom" wrapText="0"/>
    </xf>
    <xf borderId="40" fillId="2" fontId="14" numFmtId="0" xfId="0" applyAlignment="1" applyBorder="1" applyFill="1" applyFont="1">
      <alignment shrinkToFit="0" vertical="bottom" wrapText="0"/>
    </xf>
    <xf borderId="59" fillId="0" fontId="2" numFmtId="0" xfId="0" applyBorder="1" applyFont="1"/>
    <xf borderId="47" fillId="2" fontId="11" numFmtId="0" xfId="0" applyAlignment="1" applyBorder="1" applyFill="1" applyFont="1">
      <alignment horizontal="center" shrinkToFit="0" vertical="bottom" wrapText="0"/>
    </xf>
    <xf borderId="52" fillId="3" fontId="12" numFmtId="0" xfId="0" applyAlignment="1" applyBorder="1" applyFill="1" applyFont="1">
      <alignment horizontal="center" shrinkToFit="0" vertical="bottom" wrapText="0"/>
    </xf>
    <xf borderId="60" fillId="3" fontId="3" numFmtId="0" xfId="0" applyAlignment="1" applyBorder="1" applyFill="1" applyFont="1">
      <alignment horizontal="center" shrinkToFit="0" vertical="bottom" wrapText="0"/>
    </xf>
    <xf borderId="61" fillId="2" fontId="15" numFmtId="0" xfId="0" applyAlignment="1" applyBorder="1" applyFill="1" applyFont="1">
      <alignment horizontal="center" shrinkToFit="0" vertical="bottom" wrapText="1"/>
    </xf>
    <xf borderId="60" fillId="2" fontId="15" numFmtId="0" xfId="0" applyAlignment="1" applyBorder="1" applyFill="1" applyFont="1">
      <alignment horizontal="center" shrinkToFit="0" vertical="bottom" wrapText="1"/>
    </xf>
    <xf borderId="62" fillId="2" fontId="15" numFmtId="0" xfId="0" applyAlignment="1" applyBorder="1" applyFill="1" applyFont="1">
      <alignment horizontal="center" shrinkToFit="0" vertical="bottom" wrapText="1"/>
    </xf>
    <xf borderId="7" fillId="2" fontId="3" numFmtId="0" xfId="0" applyAlignment="1" applyBorder="1" applyFill="1" applyFont="1">
      <alignment shrinkToFit="0" vertical="bottom" wrapText="0"/>
    </xf>
    <xf borderId="7" fillId="2" fontId="12" numFmtId="0" xfId="0" applyAlignment="1" applyBorder="1" applyFill="1" applyFont="1">
      <alignment horizontal="center" shrinkToFit="0" vertical="bottom" wrapText="0"/>
    </xf>
    <xf borderId="7" fillId="2" fontId="11" numFmtId="0" xfId="0" applyAlignment="1" applyBorder="1" applyFill="1" applyFont="1">
      <alignment horizontal="center" shrinkToFit="0" vertical="bottom" wrapText="0"/>
    </xf>
    <xf borderId="7" fillId="2" fontId="14" numFmtId="0" xfId="0" applyAlignment="1" applyBorder="1" applyFill="1" applyFont="1">
      <alignment shrinkToFit="0" vertical="bottom" wrapText="0"/>
    </xf>
    <xf borderId="7" fillId="2" fontId="19" numFmtId="0" xfId="0" applyAlignment="1" applyBorder="1" applyFill="1" applyFont="1">
      <alignment horizontal="left" shrinkToFit="0" vertical="bottom" wrapText="0"/>
    </xf>
    <xf borderId="7" fillId="2" fontId="11" numFmtId="0" xfId="0" applyAlignment="1" applyBorder="1" applyFill="1" applyFont="1">
      <alignment horizontal="left" shrinkToFit="0" vertical="bottom" wrapText="0"/>
    </xf>
    <xf borderId="7" fillId="2" fontId="3" numFmtId="0" xfId="0" applyAlignment="1" applyBorder="1" applyFill="1" applyFont="1">
      <alignment horizontal="center" shrinkToFit="0" vertical="bottom" wrapText="0"/>
    </xf>
    <xf borderId="7" fillId="2" fontId="11" numFmtId="0" xfId="0" applyAlignment="1" applyBorder="1" applyFill="1" applyFont="1">
      <alignment shrinkToFit="0" vertical="bottom" wrapText="0"/>
    </xf>
    <xf borderId="7" fillId="2" fontId="16" numFmtId="0" xfId="0" applyAlignment="1" applyBorder="1" applyFill="1" applyFont="1">
      <alignment shrinkToFit="0" vertical="bottom" wrapText="0"/>
    </xf>
    <xf borderId="40" fillId="5" fontId="18" numFmtId="0" xfId="0" applyAlignment="1" applyBorder="1" applyFill="1" applyFont="1">
      <alignment horizontal="center" shrinkToFit="0" vertical="bottom" wrapText="0"/>
    </xf>
    <xf borderId="7" fillId="2" fontId="12" numFmtId="0" xfId="0" applyAlignment="1" applyBorder="1" applyFill="1" applyFont="1">
      <alignment shrinkToFit="0" vertical="bottom" wrapText="0"/>
    </xf>
    <xf borderId="7" fillId="2" fontId="7" numFmtId="0" xfId="0" applyAlignment="1" applyBorder="1" applyFill="1" applyFont="1">
      <alignment horizontal="center" shrinkToFit="0" vertical="bottom" wrapText="0"/>
    </xf>
    <xf borderId="7" fillId="2" fontId="20" numFmtId="0" xfId="0" applyAlignment="1" applyBorder="1" applyFill="1" applyFont="1">
      <alignment horizontal="left" shrinkToFit="0" vertical="bottom" wrapText="0"/>
    </xf>
    <xf borderId="0" fillId="0" fontId="21" numFmtId="0" xfId="0" applyAlignment="1" applyFont="1">
      <alignment horizontal="left" shrinkToFit="0" vertical="bottom" wrapText="0"/>
    </xf>
    <xf borderId="7" fillId="2" fontId="7" numFmtId="4" xfId="0" applyAlignment="1" applyBorder="1" applyFill="1" applyFont="1" applyNumberFormat="1">
      <alignment horizontal="center" shrinkToFit="0" vertical="bottom" wrapText="0"/>
    </xf>
    <xf borderId="1" fillId="2" fontId="22" numFmtId="165" xfId="0" applyAlignment="1" applyBorder="1" applyFill="1" applyFont="1" applyNumberFormat="1">
      <alignment horizontal="center" shrinkToFit="0" vertical="bottom" wrapText="0"/>
    </xf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7" fillId="2" fontId="7" numFmtId="165" xfId="0" applyAlignment="1" applyBorder="1" applyFill="1" applyFont="1" applyNumberFormat="1">
      <alignment horizontal="center" shrinkToFit="0" vertical="bottom" wrapText="0"/>
    </xf>
    <xf borderId="7" fillId="2" fontId="22" numFmtId="0" xfId="0" applyAlignment="1" applyBorder="1" applyFill="1" applyFont="1">
      <alignment shrinkToFit="0" vertical="bottom" wrapText="0"/>
    </xf>
    <xf borderId="7" fillId="2" fontId="23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404040"/>
                </a:solidFill>
                <a:latin typeface="Calibri"/>
              </a:defRPr>
            </a:pPr>
            <a:r>
              <a:rPr b="1" i="0" sz="1800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Leader Board</c:v>
          </c:tx>
          <c:spPr>
            <a:solidFill>
              <a:srgbClr val="C0504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'Red Fantasy Standings'!$A$6:$A$35</c:f>
            </c:strRef>
          </c:cat>
          <c:val>
            <c:numRef>
              <c:f>'Red Fantasy Standings'!$AM$6:$AM$35</c:f>
              <c:numCache/>
            </c:numRef>
          </c:val>
        </c:ser>
        <c:axId val="1476571643"/>
        <c:axId val="1441591659"/>
      </c:barChart>
      <c:catAx>
        <c:axId val="1476571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1441591659"/>
      </c:catAx>
      <c:valAx>
        <c:axId val="1441591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1476571643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404040"/>
                </a:solidFill>
                <a:latin typeface="Calibri"/>
              </a:defRPr>
            </a:pPr>
            <a:r>
              <a:rPr b="1" i="0" sz="1800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</c:title>
    <c:plotArea>
      <c:layout>
        <c:manualLayout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ser>
          <c:idx val="0"/>
          <c:order val="0"/>
          <c:spPr>
            <a:solidFill>
              <a:srgbClr val="63636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'White Fantasy Standings'!$A$6:$A$35</c:f>
            </c:strRef>
          </c:cat>
          <c:val>
            <c:numRef>
              <c:f>'White Fantasy Standings'!$AM$6:$AM$35</c:f>
              <c:numCache/>
            </c:numRef>
          </c:val>
        </c:ser>
        <c:axId val="966162170"/>
        <c:axId val="243938926"/>
      </c:barChart>
      <c:catAx>
        <c:axId val="9661621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243938926"/>
      </c:catAx>
      <c:valAx>
        <c:axId val="2439389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966162170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404040"/>
                </a:solidFill>
                <a:latin typeface="Calibri"/>
              </a:defRPr>
            </a:pPr>
            <a:r>
              <a:rPr b="1" i="0" sz="1800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</c:title>
    <c:plotArea>
      <c:layout>
        <c:manualLayout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'Blue Fantasy Standings'!$A$6:$A$35</c:f>
            </c:strRef>
          </c:cat>
          <c:val>
            <c:numRef>
              <c:f>'Blue Fantasy Standings'!$AM$6:$AM$35</c:f>
              <c:numCache/>
            </c:numRef>
          </c:val>
        </c:ser>
        <c:axId val="24435651"/>
        <c:axId val="611814784"/>
      </c:barChart>
      <c:catAx>
        <c:axId val="244356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611814784"/>
      </c:catAx>
      <c:valAx>
        <c:axId val="611814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04040"/>
                </a:solidFill>
                <a:latin typeface="Calibri"/>
              </a:defRPr>
            </a:pPr>
          </a:p>
        </c:txPr>
        <c:crossAx val="24435651"/>
        <c:crosses val="max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0" cy="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0" cy="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0" cy="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8" width="4.71"/>
    <col customWidth="1" min="39" max="40" width="8.71"/>
    <col customWidth="1" min="41" max="41" width="10.29"/>
    <col customWidth="1" min="42" max="42" width="2.71"/>
    <col customWidth="1" min="43" max="44" width="8.71"/>
    <col customWidth="1" min="45" max="45" width="2.71"/>
    <col customWidth="1" min="46" max="47" width="8.71"/>
  </cols>
  <sheetData>
    <row r="1" ht="14.25" customHeight="1">
      <c r="A1" s="3" t="s">
        <v>0</v>
      </c>
      <c r="B1" s="3" t="s">
        <v>2</v>
      </c>
      <c r="C1" s="5" t="s">
        <v>3</v>
      </c>
      <c r="D1" s="6" t="s">
        <v>4</v>
      </c>
      <c r="E1" s="5" t="s">
        <v>5</v>
      </c>
      <c r="F1" s="6" t="s">
        <v>6</v>
      </c>
      <c r="G1" s="5" t="s">
        <v>7</v>
      </c>
      <c r="H1" s="6" t="s">
        <v>9</v>
      </c>
      <c r="I1" s="5" t="s">
        <v>10</v>
      </c>
      <c r="J1" s="6" t="s">
        <v>11</v>
      </c>
      <c r="K1" s="5" t="s">
        <v>12</v>
      </c>
      <c r="L1" s="6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6" t="s">
        <v>31</v>
      </c>
      <c r="AD1" s="5" t="s">
        <v>32</v>
      </c>
      <c r="AE1" s="5" t="s">
        <v>33</v>
      </c>
      <c r="AF1" s="5" t="s">
        <v>34</v>
      </c>
      <c r="AG1" s="5" t="s">
        <v>35</v>
      </c>
      <c r="AH1" s="5" t="s">
        <v>36</v>
      </c>
      <c r="AI1" s="5" t="s">
        <v>37</v>
      </c>
      <c r="AJ1" s="5" t="s">
        <v>38</v>
      </c>
      <c r="AK1" s="5" t="s">
        <v>39</v>
      </c>
      <c r="AL1" s="14" t="s">
        <v>40</v>
      </c>
      <c r="AM1" s="14" t="s">
        <v>41</v>
      </c>
      <c r="AO1" s="15"/>
      <c r="AP1" s="15"/>
      <c r="AS1" s="15"/>
    </row>
    <row r="2" ht="14.25" customHeight="1">
      <c r="A2" s="16"/>
      <c r="B2" s="16"/>
      <c r="C2" s="17"/>
      <c r="D2" s="18"/>
      <c r="E2" s="17"/>
      <c r="F2" s="18"/>
      <c r="G2" s="17"/>
      <c r="H2" s="18"/>
      <c r="I2" s="17"/>
      <c r="J2" s="18"/>
      <c r="K2" s="17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8"/>
      <c r="AD2" s="17"/>
      <c r="AE2" s="17"/>
      <c r="AF2" s="17"/>
      <c r="AG2" s="17"/>
      <c r="AH2" s="17"/>
      <c r="AI2" s="17"/>
      <c r="AJ2" s="17"/>
      <c r="AK2" s="17"/>
      <c r="AL2" s="19"/>
      <c r="AM2" s="19"/>
      <c r="AN2" s="20" t="s">
        <v>42</v>
      </c>
      <c r="AP2" s="20"/>
      <c r="AQ2" s="20" t="s">
        <v>43</v>
      </c>
      <c r="AS2" s="20"/>
      <c r="AT2" s="20" t="s">
        <v>44</v>
      </c>
    </row>
    <row r="3" ht="14.25" customHeight="1">
      <c r="A3" s="21"/>
      <c r="B3" s="21"/>
      <c r="C3" s="22"/>
      <c r="D3" s="23"/>
      <c r="E3" s="22"/>
      <c r="F3" s="23"/>
      <c r="G3" s="22"/>
      <c r="H3" s="23"/>
      <c r="I3" s="22"/>
      <c r="J3" s="23"/>
      <c r="K3" s="22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3"/>
      <c r="AD3" s="22"/>
      <c r="AE3" s="22"/>
      <c r="AF3" s="22"/>
      <c r="AG3" s="22"/>
      <c r="AH3" s="22"/>
      <c r="AI3" s="22"/>
      <c r="AJ3" s="22"/>
      <c r="AK3" s="22"/>
      <c r="AL3" s="24"/>
      <c r="AM3" s="24"/>
      <c r="AN3" s="15" t="s">
        <v>24</v>
      </c>
      <c r="AO3" s="15" t="s">
        <v>45</v>
      </c>
      <c r="AP3" s="15"/>
      <c r="AQ3" s="15" t="s">
        <v>24</v>
      </c>
      <c r="AR3" s="15" t="s">
        <v>45</v>
      </c>
      <c r="AS3" s="15"/>
      <c r="AT3" s="15" t="s">
        <v>24</v>
      </c>
      <c r="AU3" s="15" t="s">
        <v>45</v>
      </c>
    </row>
    <row r="4" ht="14.25" customHeight="1">
      <c r="A4" s="25">
        <v>1.0</v>
      </c>
      <c r="B4" s="26" t="s">
        <v>46</v>
      </c>
      <c r="C4" s="27">
        <v>17.0</v>
      </c>
      <c r="D4" s="27">
        <v>34.0</v>
      </c>
      <c r="E4" s="27">
        <v>13.0</v>
      </c>
      <c r="F4" s="27">
        <v>10.0</v>
      </c>
      <c r="G4" s="27">
        <v>20.0</v>
      </c>
      <c r="H4" s="27">
        <v>21.0</v>
      </c>
      <c r="I4" s="27">
        <v>21.0</v>
      </c>
      <c r="J4" s="27">
        <v>17.0</v>
      </c>
      <c r="K4" s="27">
        <v>11.0</v>
      </c>
      <c r="L4" s="27">
        <v>41.0</v>
      </c>
      <c r="M4" s="27">
        <v>11.0</v>
      </c>
      <c r="N4" s="27">
        <v>20.0</v>
      </c>
      <c r="O4" s="27">
        <v>2.0</v>
      </c>
      <c r="P4" s="27">
        <v>1.0</v>
      </c>
      <c r="Q4" s="27">
        <v>21.0</v>
      </c>
      <c r="R4" s="27">
        <v>34.0</v>
      </c>
      <c r="S4" s="27">
        <v>33.0</v>
      </c>
      <c r="T4" s="27">
        <v>29.0</v>
      </c>
      <c r="U4" s="27">
        <v>19.0</v>
      </c>
      <c r="V4" s="27">
        <v>26.0</v>
      </c>
      <c r="W4" s="27">
        <v>11.0</v>
      </c>
      <c r="X4" s="27">
        <v>24.0</v>
      </c>
      <c r="Y4" s="27">
        <v>43.0</v>
      </c>
      <c r="Z4" s="27">
        <v>25.0</v>
      </c>
      <c r="AA4" s="27">
        <v>1.0</v>
      </c>
      <c r="AB4" s="27">
        <v>13.0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>
        <f t="shared" ref="AM4:AM46" si="1">SUM(C4:AL4)</f>
        <v>518</v>
      </c>
      <c r="AN4" s="33" t="s">
        <v>50</v>
      </c>
      <c r="AO4" s="34" t="s">
        <v>51</v>
      </c>
      <c r="AP4" s="15"/>
      <c r="AQ4" s="33" t="s">
        <v>52</v>
      </c>
      <c r="AR4" s="34" t="s">
        <v>53</v>
      </c>
      <c r="AS4" s="35"/>
      <c r="AT4" s="33" t="s">
        <v>54</v>
      </c>
      <c r="AU4" s="34" t="s">
        <v>51</v>
      </c>
    </row>
    <row r="5" ht="14.25" customHeight="1">
      <c r="A5" s="25">
        <v>2.0</v>
      </c>
      <c r="B5" s="26" t="s">
        <v>55</v>
      </c>
      <c r="C5" s="27">
        <v>12.0</v>
      </c>
      <c r="D5" s="27">
        <v>21.0</v>
      </c>
      <c r="E5" s="27">
        <v>5.0</v>
      </c>
      <c r="F5" s="27">
        <v>13.0</v>
      </c>
      <c r="G5" s="27">
        <v>19.0</v>
      </c>
      <c r="H5" s="27">
        <v>38.0</v>
      </c>
      <c r="I5" s="27">
        <v>40.0</v>
      </c>
      <c r="J5" s="27">
        <v>23.0</v>
      </c>
      <c r="K5" s="27">
        <v>25.0</v>
      </c>
      <c r="L5" s="27">
        <v>29.0</v>
      </c>
      <c r="M5" s="27">
        <v>22.0</v>
      </c>
      <c r="N5" s="27">
        <v>39.0</v>
      </c>
      <c r="O5" s="27">
        <v>1.0</v>
      </c>
      <c r="P5" s="27">
        <v>18.0</v>
      </c>
      <c r="Q5" s="27">
        <v>26.0</v>
      </c>
      <c r="R5" s="27">
        <v>23.0</v>
      </c>
      <c r="S5" s="27">
        <v>15.0</v>
      </c>
      <c r="T5" s="27">
        <v>31.0</v>
      </c>
      <c r="U5" s="27">
        <v>33.0</v>
      </c>
      <c r="V5" s="27">
        <v>36.0</v>
      </c>
      <c r="W5" s="27">
        <v>25.0</v>
      </c>
      <c r="X5" s="27">
        <v>23.0</v>
      </c>
      <c r="Y5" s="27">
        <v>8.0</v>
      </c>
      <c r="Z5" s="27">
        <v>48.0</v>
      </c>
      <c r="AA5" s="27">
        <v>25.0</v>
      </c>
      <c r="AB5" s="27">
        <v>32.0</v>
      </c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>
        <f t="shared" si="1"/>
        <v>630</v>
      </c>
      <c r="AN5" s="36"/>
      <c r="AO5" s="34" t="s">
        <v>56</v>
      </c>
      <c r="AP5" s="15"/>
      <c r="AQ5" s="36"/>
      <c r="AR5" s="34" t="s">
        <v>57</v>
      </c>
      <c r="AS5" s="35"/>
      <c r="AT5" s="36"/>
      <c r="AU5" s="34" t="s">
        <v>56</v>
      </c>
    </row>
    <row r="6" ht="14.25" customHeight="1">
      <c r="A6" s="25">
        <v>3.0</v>
      </c>
      <c r="B6" s="37" t="s">
        <v>58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v>33.0</v>
      </c>
      <c r="Z6" s="27">
        <v>18.0</v>
      </c>
      <c r="AA6" s="27">
        <v>5.0</v>
      </c>
      <c r="AB6" s="27">
        <v>30.0</v>
      </c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>
        <f t="shared" si="1"/>
        <v>86</v>
      </c>
      <c r="AN6" s="38"/>
      <c r="AO6" s="40"/>
      <c r="AP6" s="15"/>
      <c r="AQ6" s="41"/>
      <c r="AR6" s="42"/>
      <c r="AS6" s="35"/>
      <c r="AT6" s="41"/>
      <c r="AU6" s="42"/>
    </row>
    <row r="7" ht="14.25" customHeight="1">
      <c r="A7" s="25">
        <v>4.0</v>
      </c>
      <c r="B7" s="37" t="s">
        <v>59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>
        <v>20.0</v>
      </c>
      <c r="Z7" s="27">
        <v>19.0</v>
      </c>
      <c r="AA7" s="27">
        <v>27.0</v>
      </c>
      <c r="AB7" s="27">
        <v>12.0</v>
      </c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>
        <f t="shared" si="1"/>
        <v>78</v>
      </c>
      <c r="AN7" s="43" t="s">
        <v>60</v>
      </c>
      <c r="AO7" s="34" t="s">
        <v>61</v>
      </c>
      <c r="AP7" s="15"/>
      <c r="AQ7" s="33" t="s">
        <v>62</v>
      </c>
      <c r="AR7" s="34" t="s">
        <v>63</v>
      </c>
      <c r="AS7" s="35"/>
      <c r="AT7" s="33" t="s">
        <v>64</v>
      </c>
      <c r="AU7" s="34" t="s">
        <v>53</v>
      </c>
    </row>
    <row r="8" ht="14.25" customHeight="1">
      <c r="A8" s="25">
        <v>5.0</v>
      </c>
      <c r="B8" s="26" t="s">
        <v>65</v>
      </c>
      <c r="C8" s="27">
        <v>21.0</v>
      </c>
      <c r="D8" s="27">
        <v>13.0</v>
      </c>
      <c r="E8" s="27">
        <v>31.0</v>
      </c>
      <c r="F8" s="27">
        <v>36.0</v>
      </c>
      <c r="G8" s="27">
        <v>48.0</v>
      </c>
      <c r="H8" s="27">
        <v>19.0</v>
      </c>
      <c r="I8" s="27">
        <v>30.0</v>
      </c>
      <c r="J8" s="27">
        <v>54.0</v>
      </c>
      <c r="K8" s="27">
        <v>54.0</v>
      </c>
      <c r="L8" s="27">
        <v>1.0</v>
      </c>
      <c r="M8" s="27">
        <v>3.0</v>
      </c>
      <c r="N8" s="27">
        <v>14.0</v>
      </c>
      <c r="O8" s="27">
        <v>54.0</v>
      </c>
      <c r="P8" s="27">
        <v>23.0</v>
      </c>
      <c r="Q8" s="27">
        <v>44.0</v>
      </c>
      <c r="R8" s="27">
        <v>24.0</v>
      </c>
      <c r="S8" s="27">
        <v>42.0</v>
      </c>
      <c r="T8" s="27">
        <v>35.0</v>
      </c>
      <c r="U8" s="27">
        <v>12.0</v>
      </c>
      <c r="V8" s="27">
        <v>11.0</v>
      </c>
      <c r="W8" s="27">
        <v>22.0</v>
      </c>
      <c r="X8" s="27">
        <v>1.0</v>
      </c>
      <c r="Y8" s="27">
        <v>12.0</v>
      </c>
      <c r="Z8" s="27">
        <v>31.0</v>
      </c>
      <c r="AA8" s="27">
        <v>48.0</v>
      </c>
      <c r="AB8" s="27">
        <v>16.0</v>
      </c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>
        <f t="shared" si="1"/>
        <v>699</v>
      </c>
      <c r="AN8" s="46"/>
      <c r="AO8" s="34" t="s">
        <v>57</v>
      </c>
      <c r="AP8" s="15"/>
      <c r="AQ8" s="36"/>
      <c r="AR8" s="34" t="s">
        <v>66</v>
      </c>
      <c r="AS8" s="35"/>
      <c r="AT8" s="36"/>
      <c r="AU8" s="34" t="s">
        <v>67</v>
      </c>
    </row>
    <row r="9" ht="14.25" customHeight="1">
      <c r="A9" s="25">
        <v>6.0</v>
      </c>
      <c r="B9" s="26" t="s">
        <v>68</v>
      </c>
      <c r="C9" s="27"/>
      <c r="D9" s="27"/>
      <c r="E9" s="27"/>
      <c r="F9" s="27"/>
      <c r="G9" s="27"/>
      <c r="H9" s="27">
        <v>55.0</v>
      </c>
      <c r="I9" s="27">
        <v>24.0</v>
      </c>
      <c r="J9" s="27">
        <v>23.0</v>
      </c>
      <c r="K9" s="27">
        <v>35.0</v>
      </c>
      <c r="L9" s="27">
        <v>15.0</v>
      </c>
      <c r="M9" s="27">
        <v>32.0</v>
      </c>
      <c r="N9" s="27">
        <v>7.0</v>
      </c>
      <c r="O9" s="27">
        <v>25.0</v>
      </c>
      <c r="P9" s="27">
        <v>4.0</v>
      </c>
      <c r="Q9" s="27">
        <v>3.0</v>
      </c>
      <c r="R9" s="27">
        <v>1.0</v>
      </c>
      <c r="S9" s="27">
        <v>3.0</v>
      </c>
      <c r="T9" s="27">
        <v>22.0</v>
      </c>
      <c r="U9" s="27">
        <v>16.0</v>
      </c>
      <c r="V9" s="27">
        <v>11.0</v>
      </c>
      <c r="W9" s="27">
        <v>34.0</v>
      </c>
      <c r="X9" s="27">
        <v>31.0</v>
      </c>
      <c r="Y9" s="27">
        <v>10.0</v>
      </c>
      <c r="Z9" s="27">
        <v>11.0</v>
      </c>
      <c r="AA9" s="27">
        <v>31.0</v>
      </c>
      <c r="AB9" s="27">
        <v>23.0</v>
      </c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>
        <f t="shared" si="1"/>
        <v>416</v>
      </c>
      <c r="AN9" s="38"/>
      <c r="AO9" s="40"/>
      <c r="AP9" s="15"/>
      <c r="AQ9" s="41"/>
      <c r="AR9" s="42"/>
      <c r="AS9" s="35"/>
      <c r="AT9" s="41"/>
      <c r="AU9" s="42"/>
    </row>
    <row r="10" ht="14.25" customHeight="1">
      <c r="A10" s="25">
        <v>7.0</v>
      </c>
      <c r="B10" s="37" t="s">
        <v>69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>
        <v>14.0</v>
      </c>
      <c r="Z10" s="27">
        <v>21.0</v>
      </c>
      <c r="AA10" s="27">
        <v>20.0</v>
      </c>
      <c r="AB10" s="27">
        <v>38.0</v>
      </c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>
        <f t="shared" si="1"/>
        <v>93</v>
      </c>
      <c r="AN10" s="43" t="s">
        <v>70</v>
      </c>
      <c r="AO10" s="34" t="s">
        <v>63</v>
      </c>
      <c r="AP10" s="15"/>
      <c r="AQ10" s="33" t="s">
        <v>71</v>
      </c>
      <c r="AR10" s="34" t="s">
        <v>72</v>
      </c>
      <c r="AS10" s="35"/>
      <c r="AT10" s="33" t="s">
        <v>73</v>
      </c>
      <c r="AU10" s="34" t="s">
        <v>72</v>
      </c>
    </row>
    <row r="11" ht="14.25" customHeight="1">
      <c r="A11" s="25">
        <v>8.0</v>
      </c>
      <c r="B11" s="26" t="s">
        <v>74</v>
      </c>
      <c r="C11" s="27">
        <v>29.0</v>
      </c>
      <c r="D11" s="27">
        <v>7.0</v>
      </c>
      <c r="E11" s="27">
        <v>25.0</v>
      </c>
      <c r="F11" s="27">
        <v>20.0</v>
      </c>
      <c r="G11" s="27">
        <v>9.0</v>
      </c>
      <c r="H11" s="27">
        <v>16.0</v>
      </c>
      <c r="I11" s="27">
        <v>13.0</v>
      </c>
      <c r="J11" s="27">
        <v>12.0</v>
      </c>
      <c r="K11" s="27">
        <v>2.0</v>
      </c>
      <c r="L11" s="27">
        <v>27.0</v>
      </c>
      <c r="M11" s="27">
        <v>22.0</v>
      </c>
      <c r="N11" s="27">
        <v>35.0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0.0</v>
      </c>
      <c r="AB11" s="27">
        <v>0.0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>
        <f t="shared" si="1"/>
        <v>217</v>
      </c>
      <c r="AN11" s="46"/>
      <c r="AO11" s="34" t="s">
        <v>66</v>
      </c>
      <c r="AP11" s="15"/>
      <c r="AQ11" s="36"/>
      <c r="AR11" s="34" t="s">
        <v>75</v>
      </c>
      <c r="AS11" s="35"/>
      <c r="AT11" s="36"/>
      <c r="AU11" s="34" t="s">
        <v>66</v>
      </c>
    </row>
    <row r="12" ht="14.25" customHeight="1">
      <c r="A12" s="25">
        <v>9.0</v>
      </c>
      <c r="B12" s="26" t="s">
        <v>76</v>
      </c>
      <c r="C12" s="27">
        <v>33.0</v>
      </c>
      <c r="D12" s="27">
        <v>38.0</v>
      </c>
      <c r="E12" s="27">
        <v>33.0</v>
      </c>
      <c r="F12" s="27">
        <v>14.0</v>
      </c>
      <c r="G12" s="27">
        <v>40.0</v>
      </c>
      <c r="H12" s="27">
        <v>26.0</v>
      </c>
      <c r="I12" s="27">
        <v>55.0</v>
      </c>
      <c r="J12" s="27">
        <v>15.0</v>
      </c>
      <c r="K12" s="27">
        <v>41.0</v>
      </c>
      <c r="L12" s="27">
        <v>35.0</v>
      </c>
      <c r="M12" s="27">
        <v>69.0</v>
      </c>
      <c r="N12" s="27">
        <v>13.0</v>
      </c>
      <c r="O12" s="27">
        <v>1.0</v>
      </c>
      <c r="P12" s="27">
        <v>37.0</v>
      </c>
      <c r="Q12" s="27">
        <v>22.0</v>
      </c>
      <c r="R12" s="27">
        <v>27.0</v>
      </c>
      <c r="S12" s="27">
        <v>25.0</v>
      </c>
      <c r="T12" s="27">
        <v>20.0</v>
      </c>
      <c r="U12" s="27">
        <v>30.0</v>
      </c>
      <c r="V12" s="27">
        <v>26.0</v>
      </c>
      <c r="W12" s="27">
        <v>24.0</v>
      </c>
      <c r="X12" s="27">
        <v>1.0</v>
      </c>
      <c r="Y12" s="27">
        <v>22.0</v>
      </c>
      <c r="Z12" s="27">
        <v>38.0</v>
      </c>
      <c r="AA12" s="27">
        <v>12.0</v>
      </c>
      <c r="AB12" s="27">
        <v>16.0</v>
      </c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>
        <f t="shared" si="1"/>
        <v>713</v>
      </c>
      <c r="AN12" s="38"/>
      <c r="AO12" s="40"/>
      <c r="AP12" s="15"/>
      <c r="AQ12" s="40"/>
      <c r="AR12" s="56"/>
      <c r="AS12" s="15"/>
      <c r="AT12" s="40"/>
      <c r="AU12" s="56"/>
    </row>
    <row r="13" ht="14.25" customHeight="1">
      <c r="A13" s="25">
        <v>10.0</v>
      </c>
      <c r="B13" s="37" t="s">
        <v>77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>
        <v>13.0</v>
      </c>
      <c r="Z13" s="27">
        <v>5.0</v>
      </c>
      <c r="AA13" s="27">
        <v>10.0</v>
      </c>
      <c r="AB13" s="27">
        <v>16.0</v>
      </c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>
        <f t="shared" si="1"/>
        <v>44</v>
      </c>
      <c r="AN13" s="33" t="s">
        <v>78</v>
      </c>
      <c r="AO13" s="34" t="s">
        <v>53</v>
      </c>
      <c r="AP13" s="35"/>
      <c r="AQ13" s="33" t="s">
        <v>79</v>
      </c>
      <c r="AR13" s="34" t="s">
        <v>61</v>
      </c>
      <c r="AS13" s="35"/>
      <c r="AT13" s="33" t="s">
        <v>80</v>
      </c>
      <c r="AU13" s="34" t="s">
        <v>81</v>
      </c>
    </row>
    <row r="14" ht="14.25" customHeight="1">
      <c r="A14" s="25">
        <v>11.0</v>
      </c>
      <c r="B14" s="26" t="s">
        <v>82</v>
      </c>
      <c r="C14" s="27">
        <v>6.0</v>
      </c>
      <c r="D14" s="27">
        <v>24.0</v>
      </c>
      <c r="E14" s="27">
        <v>28.0</v>
      </c>
      <c r="F14" s="27">
        <v>47.0</v>
      </c>
      <c r="G14" s="27">
        <v>70.0</v>
      </c>
      <c r="H14" s="27">
        <v>26.0</v>
      </c>
      <c r="I14" s="27">
        <v>56.0</v>
      </c>
      <c r="J14" s="27">
        <v>41.0</v>
      </c>
      <c r="K14" s="27">
        <v>52.0</v>
      </c>
      <c r="L14" s="27">
        <v>22.0</v>
      </c>
      <c r="M14" s="27">
        <v>43.0</v>
      </c>
      <c r="N14" s="27">
        <v>21.0</v>
      </c>
      <c r="O14" s="27">
        <v>60.0</v>
      </c>
      <c r="P14" s="27">
        <v>62.0</v>
      </c>
      <c r="Q14" s="27">
        <v>58.0</v>
      </c>
      <c r="R14" s="27">
        <v>67.0</v>
      </c>
      <c r="S14" s="27">
        <v>23.0</v>
      </c>
      <c r="T14" s="27">
        <v>11.0</v>
      </c>
      <c r="U14" s="27">
        <v>45.0</v>
      </c>
      <c r="V14" s="27">
        <v>27.0</v>
      </c>
      <c r="W14" s="27">
        <v>51.0</v>
      </c>
      <c r="X14" s="27">
        <v>44.0</v>
      </c>
      <c r="Y14" s="27">
        <v>37.0</v>
      </c>
      <c r="Z14" s="27">
        <v>46.0</v>
      </c>
      <c r="AA14" s="27">
        <v>32.0</v>
      </c>
      <c r="AB14" s="27">
        <v>26.0</v>
      </c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>
        <f t="shared" si="1"/>
        <v>1025</v>
      </c>
      <c r="AN14" s="36"/>
      <c r="AO14" s="34" t="s">
        <v>83</v>
      </c>
      <c r="AP14" s="35"/>
      <c r="AQ14" s="36"/>
      <c r="AR14" s="34" t="s">
        <v>84</v>
      </c>
      <c r="AS14" s="35"/>
      <c r="AT14" s="36"/>
      <c r="AU14" s="34" t="s">
        <v>57</v>
      </c>
    </row>
    <row r="15" ht="14.25" customHeight="1">
      <c r="A15" s="25">
        <v>12.0</v>
      </c>
      <c r="B15" s="26" t="s">
        <v>85</v>
      </c>
      <c r="C15" s="27">
        <v>27.0</v>
      </c>
      <c r="D15" s="27">
        <v>31.0</v>
      </c>
      <c r="E15" s="27">
        <v>33.0</v>
      </c>
      <c r="F15" s="27">
        <v>65.0</v>
      </c>
      <c r="G15" s="27">
        <v>23.0</v>
      </c>
      <c r="H15" s="27">
        <v>42.0</v>
      </c>
      <c r="I15" s="27">
        <v>41.0</v>
      </c>
      <c r="J15" s="27">
        <v>53.0</v>
      </c>
      <c r="K15" s="27">
        <v>13.0</v>
      </c>
      <c r="L15" s="27">
        <v>7.0</v>
      </c>
      <c r="M15" s="27">
        <v>27.0</v>
      </c>
      <c r="N15" s="27">
        <v>34.0</v>
      </c>
      <c r="O15" s="27">
        <v>41.0</v>
      </c>
      <c r="P15" s="27">
        <v>37.0</v>
      </c>
      <c r="Q15" s="27">
        <v>29.0</v>
      </c>
      <c r="R15" s="27">
        <v>27.0</v>
      </c>
      <c r="S15" s="27">
        <v>44.0</v>
      </c>
      <c r="T15" s="27">
        <v>32.0</v>
      </c>
      <c r="U15" s="27">
        <v>36.0</v>
      </c>
      <c r="V15" s="27">
        <v>75.0</v>
      </c>
      <c r="W15" s="27">
        <v>29.0</v>
      </c>
      <c r="X15" s="27">
        <v>11.0</v>
      </c>
      <c r="Y15" s="27">
        <v>47.0</v>
      </c>
      <c r="Z15" s="27">
        <v>40.0</v>
      </c>
      <c r="AA15" s="27">
        <v>70.0</v>
      </c>
      <c r="AB15" s="27">
        <v>14.0</v>
      </c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>
        <f t="shared" si="1"/>
        <v>928</v>
      </c>
      <c r="AN15" s="58"/>
      <c r="AO15" s="59"/>
      <c r="AP15" s="35"/>
      <c r="AQ15" s="41"/>
      <c r="AR15" s="42"/>
      <c r="AS15" s="35"/>
      <c r="AT15" s="41"/>
      <c r="AU15" s="42"/>
    </row>
    <row r="16" ht="14.25" customHeight="1">
      <c r="A16" s="25">
        <v>15.0</v>
      </c>
      <c r="B16" s="37" t="s">
        <v>86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>
        <f t="shared" si="1"/>
        <v>0</v>
      </c>
      <c r="AN16" s="33" t="s">
        <v>87</v>
      </c>
      <c r="AO16" s="34" t="s">
        <v>81</v>
      </c>
      <c r="AP16" s="35"/>
      <c r="AQ16" s="33" t="s">
        <v>88</v>
      </c>
      <c r="AR16" s="34" t="s">
        <v>81</v>
      </c>
      <c r="AS16" s="35"/>
      <c r="AT16" s="33" t="s">
        <v>89</v>
      </c>
      <c r="AU16" s="34" t="s">
        <v>63</v>
      </c>
    </row>
    <row r="17" ht="14.25" customHeight="1">
      <c r="A17" s="25">
        <v>16.0</v>
      </c>
      <c r="B17" s="37" t="s">
        <v>90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>
        <v>29.0</v>
      </c>
      <c r="Z17" s="27">
        <v>4.0</v>
      </c>
      <c r="AA17" s="27">
        <v>14.0</v>
      </c>
      <c r="AB17" s="27">
        <v>7.0</v>
      </c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>
        <f t="shared" si="1"/>
        <v>54</v>
      </c>
      <c r="AN17" s="36"/>
      <c r="AO17" s="34" t="s">
        <v>84</v>
      </c>
      <c r="AP17" s="35"/>
      <c r="AQ17" s="36"/>
      <c r="AR17" s="34" t="s">
        <v>83</v>
      </c>
      <c r="AS17" s="35"/>
      <c r="AT17" s="36"/>
      <c r="AU17" s="34" t="s">
        <v>74</v>
      </c>
    </row>
    <row r="18" ht="14.25" customHeight="1">
      <c r="A18" s="25">
        <v>17.0</v>
      </c>
      <c r="B18" s="26" t="s">
        <v>91</v>
      </c>
      <c r="C18" s="27">
        <v>39.0</v>
      </c>
      <c r="D18" s="27">
        <v>22.0</v>
      </c>
      <c r="E18" s="27">
        <v>19.0</v>
      </c>
      <c r="F18" s="27">
        <v>30.0</v>
      </c>
      <c r="G18" s="27">
        <v>35.0</v>
      </c>
      <c r="H18" s="27">
        <v>42.0</v>
      </c>
      <c r="I18" s="27">
        <v>18.0</v>
      </c>
      <c r="J18" s="27">
        <v>24.0</v>
      </c>
      <c r="K18" s="27">
        <v>29.0</v>
      </c>
      <c r="L18" s="27">
        <v>50.0</v>
      </c>
      <c r="M18" s="27">
        <v>36.0</v>
      </c>
      <c r="N18" s="27">
        <v>30.0</v>
      </c>
      <c r="O18" s="27">
        <v>10.0</v>
      </c>
      <c r="P18" s="27">
        <v>8.0</v>
      </c>
      <c r="Q18" s="27">
        <v>31.0</v>
      </c>
      <c r="R18" s="27">
        <v>37.0</v>
      </c>
      <c r="S18" s="27">
        <v>39.0</v>
      </c>
      <c r="T18" s="27">
        <v>18.0</v>
      </c>
      <c r="U18" s="27">
        <v>23.0</v>
      </c>
      <c r="V18" s="27">
        <v>27.0</v>
      </c>
      <c r="W18" s="27">
        <v>17.0</v>
      </c>
      <c r="X18" s="27">
        <v>28.0</v>
      </c>
      <c r="Y18" s="27">
        <v>24.0</v>
      </c>
      <c r="Z18" s="27">
        <v>16.0</v>
      </c>
      <c r="AA18" s="27">
        <v>23.0</v>
      </c>
      <c r="AB18" s="27">
        <v>1.0</v>
      </c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>
        <f t="shared" si="1"/>
        <v>676</v>
      </c>
      <c r="AN18" s="60"/>
      <c r="AO18" s="41"/>
      <c r="AP18" s="35"/>
      <c r="AQ18" s="41"/>
      <c r="AR18" s="42"/>
      <c r="AS18" s="35"/>
      <c r="AT18" s="41"/>
      <c r="AU18" s="42"/>
    </row>
    <row r="19" ht="14.25" customHeight="1">
      <c r="A19" s="25">
        <v>19.0</v>
      </c>
      <c r="B19" s="26" t="s">
        <v>92</v>
      </c>
      <c r="C19" s="27">
        <v>1.0</v>
      </c>
      <c r="D19" s="27">
        <v>43.0</v>
      </c>
      <c r="E19" s="27">
        <v>1.0</v>
      </c>
      <c r="F19" s="27">
        <v>1.0</v>
      </c>
      <c r="G19" s="27">
        <v>29.0</v>
      </c>
      <c r="H19" s="27">
        <v>32.0</v>
      </c>
      <c r="I19" s="27">
        <v>23.0</v>
      </c>
      <c r="J19" s="27">
        <v>45.0</v>
      </c>
      <c r="K19" s="27">
        <v>38.0</v>
      </c>
      <c r="L19" s="27">
        <v>8.0</v>
      </c>
      <c r="M19" s="27">
        <v>20.0</v>
      </c>
      <c r="N19" s="27">
        <v>35.0</v>
      </c>
      <c r="O19" s="27">
        <v>27.0</v>
      </c>
      <c r="P19" s="27">
        <v>39.0</v>
      </c>
      <c r="Q19" s="27">
        <v>27.0</v>
      </c>
      <c r="R19" s="27">
        <v>41.0</v>
      </c>
      <c r="S19" s="27">
        <v>20.0</v>
      </c>
      <c r="T19" s="27">
        <v>37.0</v>
      </c>
      <c r="U19" s="27">
        <v>70.0</v>
      </c>
      <c r="V19" s="27">
        <v>4.0</v>
      </c>
      <c r="W19" s="27">
        <v>45.0</v>
      </c>
      <c r="X19" s="27">
        <v>36.0</v>
      </c>
      <c r="Y19" s="27">
        <v>40.0</v>
      </c>
      <c r="Z19" s="27">
        <v>52.0</v>
      </c>
      <c r="AA19" s="27">
        <v>12.0</v>
      </c>
      <c r="AB19" s="27">
        <v>34.0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>
        <f t="shared" si="1"/>
        <v>760</v>
      </c>
      <c r="AN19" s="33" t="s">
        <v>93</v>
      </c>
      <c r="AO19" s="34" t="s">
        <v>94</v>
      </c>
      <c r="AP19" s="35"/>
      <c r="AQ19" s="33" t="s">
        <v>95</v>
      </c>
      <c r="AR19" s="34" t="s">
        <v>96</v>
      </c>
      <c r="AS19" s="35"/>
      <c r="AT19" s="33" t="s">
        <v>97</v>
      </c>
      <c r="AU19" s="34" t="s">
        <v>61</v>
      </c>
    </row>
    <row r="20" ht="14.25" customHeight="1">
      <c r="A20" s="25">
        <v>20.0</v>
      </c>
      <c r="B20" s="26" t="s">
        <v>98</v>
      </c>
      <c r="C20" s="27">
        <v>2.0</v>
      </c>
      <c r="D20" s="27">
        <v>16.0</v>
      </c>
      <c r="E20" s="27">
        <v>34.0</v>
      </c>
      <c r="F20" s="27">
        <v>54.0</v>
      </c>
      <c r="G20" s="27">
        <v>51.0</v>
      </c>
      <c r="H20" s="27">
        <v>18.0</v>
      </c>
      <c r="I20" s="27">
        <v>30.0</v>
      </c>
      <c r="J20" s="27">
        <v>19.0</v>
      </c>
      <c r="K20" s="27">
        <v>30.0</v>
      </c>
      <c r="L20" s="27">
        <v>29.0</v>
      </c>
      <c r="M20" s="27">
        <v>1.0</v>
      </c>
      <c r="N20" s="27">
        <v>20.0</v>
      </c>
      <c r="O20" s="27">
        <v>50.0</v>
      </c>
      <c r="P20" s="27">
        <v>38.0</v>
      </c>
      <c r="Q20" s="27">
        <v>11.0</v>
      </c>
      <c r="R20" s="27">
        <v>11.0</v>
      </c>
      <c r="S20" s="27">
        <v>1.0</v>
      </c>
      <c r="T20" s="27">
        <v>50.0</v>
      </c>
      <c r="U20" s="27">
        <v>40.0</v>
      </c>
      <c r="V20" s="27">
        <v>39.0</v>
      </c>
      <c r="W20" s="27">
        <v>23.0</v>
      </c>
      <c r="X20" s="27">
        <v>35.0</v>
      </c>
      <c r="Y20" s="27">
        <v>50.0</v>
      </c>
      <c r="Z20" s="27">
        <v>36.0</v>
      </c>
      <c r="AA20" s="27">
        <v>43.0</v>
      </c>
      <c r="AB20" s="27">
        <v>20.0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>
        <f t="shared" si="1"/>
        <v>751</v>
      </c>
      <c r="AN20" s="36"/>
      <c r="AO20" s="34" t="s">
        <v>99</v>
      </c>
      <c r="AP20" s="35"/>
      <c r="AQ20" s="36"/>
      <c r="AR20" s="34" t="s">
        <v>100</v>
      </c>
      <c r="AS20" s="35"/>
      <c r="AT20" s="36"/>
      <c r="AU20" s="34" t="s">
        <v>84</v>
      </c>
    </row>
    <row r="21" ht="14.25" customHeight="1">
      <c r="A21" s="25">
        <v>21.0</v>
      </c>
      <c r="B21" s="37" t="s">
        <v>101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>
        <v>33.0</v>
      </c>
      <c r="Z21" s="27">
        <v>40.0</v>
      </c>
      <c r="AA21" s="27">
        <v>49.0</v>
      </c>
      <c r="AB21" s="27">
        <v>28.0</v>
      </c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>
        <f t="shared" si="1"/>
        <v>150</v>
      </c>
      <c r="AN21" s="60"/>
      <c r="AO21" s="41"/>
      <c r="AP21" s="35"/>
      <c r="AQ21" s="41"/>
      <c r="AR21" s="42"/>
      <c r="AS21" s="35"/>
      <c r="AT21" s="41"/>
      <c r="AU21" s="42"/>
    </row>
    <row r="22" ht="14.25" customHeight="1">
      <c r="A22" s="25">
        <v>22.0</v>
      </c>
      <c r="B22" s="26" t="s">
        <v>102</v>
      </c>
      <c r="C22" s="27">
        <v>36.0</v>
      </c>
      <c r="D22" s="27">
        <v>22.0</v>
      </c>
      <c r="E22" s="27">
        <v>22.0</v>
      </c>
      <c r="F22" s="27">
        <v>23.0</v>
      </c>
      <c r="G22" s="27">
        <v>22.0</v>
      </c>
      <c r="H22" s="27">
        <v>4.0</v>
      </c>
      <c r="I22" s="27">
        <v>46.0</v>
      </c>
      <c r="J22" s="27">
        <v>33.0</v>
      </c>
      <c r="K22" s="27">
        <v>7.0</v>
      </c>
      <c r="L22" s="27">
        <v>9.0</v>
      </c>
      <c r="M22" s="27">
        <v>1.0</v>
      </c>
      <c r="N22" s="27">
        <v>10.0</v>
      </c>
      <c r="O22" s="27">
        <v>29.0</v>
      </c>
      <c r="P22" s="27">
        <v>23.0</v>
      </c>
      <c r="Q22" s="27">
        <v>32.0</v>
      </c>
      <c r="R22" s="27">
        <v>5.0</v>
      </c>
      <c r="S22" s="27">
        <v>23.0</v>
      </c>
      <c r="T22" s="27">
        <v>13.0</v>
      </c>
      <c r="U22" s="27">
        <v>25.0</v>
      </c>
      <c r="V22" s="27">
        <v>43.0</v>
      </c>
      <c r="W22" s="27">
        <v>73.0</v>
      </c>
      <c r="X22" s="27">
        <v>34.0</v>
      </c>
      <c r="Y22" s="27">
        <v>41.0</v>
      </c>
      <c r="Z22" s="27">
        <v>73.0</v>
      </c>
      <c r="AA22" s="27">
        <v>23.0</v>
      </c>
      <c r="AB22" s="27">
        <v>27.0</v>
      </c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>
        <f t="shared" si="1"/>
        <v>699</v>
      </c>
      <c r="AN22" s="33" t="s">
        <v>103</v>
      </c>
      <c r="AO22" s="34" t="s">
        <v>72</v>
      </c>
      <c r="AP22" s="35"/>
      <c r="AQ22" s="33" t="s">
        <v>104</v>
      </c>
      <c r="AR22" s="34" t="s">
        <v>94</v>
      </c>
      <c r="AS22" s="35"/>
      <c r="AT22" s="33" t="s">
        <v>105</v>
      </c>
      <c r="AU22" s="34" t="s">
        <v>94</v>
      </c>
    </row>
    <row r="23" ht="14.25" customHeight="1">
      <c r="A23" s="25">
        <v>23.0</v>
      </c>
      <c r="B23" s="26" t="s">
        <v>106</v>
      </c>
      <c r="C23" s="27">
        <v>37.0</v>
      </c>
      <c r="D23" s="27">
        <v>48.0</v>
      </c>
      <c r="E23" s="27">
        <v>31.0</v>
      </c>
      <c r="F23" s="27">
        <v>37.0</v>
      </c>
      <c r="G23" s="27">
        <v>41.0</v>
      </c>
      <c r="H23" s="27">
        <v>10.0</v>
      </c>
      <c r="I23" s="27">
        <v>1.0</v>
      </c>
      <c r="J23" s="27">
        <v>30.0</v>
      </c>
      <c r="K23" s="27">
        <v>39.0</v>
      </c>
      <c r="L23" s="27">
        <v>1.0</v>
      </c>
      <c r="M23" s="27">
        <v>28.0</v>
      </c>
      <c r="N23" s="27">
        <v>9.0</v>
      </c>
      <c r="O23" s="27">
        <v>15.0</v>
      </c>
      <c r="P23" s="27">
        <v>10.0</v>
      </c>
      <c r="Q23" s="27">
        <v>40.0</v>
      </c>
      <c r="R23" s="27">
        <v>16.0</v>
      </c>
      <c r="S23" s="27">
        <v>35.0</v>
      </c>
      <c r="T23" s="27">
        <v>15.0</v>
      </c>
      <c r="U23" s="27">
        <v>40.0</v>
      </c>
      <c r="V23" s="27">
        <v>9.0</v>
      </c>
      <c r="W23" s="27">
        <v>38.0</v>
      </c>
      <c r="X23" s="27">
        <v>9.0</v>
      </c>
      <c r="Y23" s="27">
        <v>25.0</v>
      </c>
      <c r="Z23" s="27">
        <v>22.0</v>
      </c>
      <c r="AA23" s="27">
        <v>43.0</v>
      </c>
      <c r="AB23" s="27">
        <v>21.0</v>
      </c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>
        <f t="shared" si="1"/>
        <v>650</v>
      </c>
      <c r="AN23" s="36"/>
      <c r="AO23" s="34" t="s">
        <v>107</v>
      </c>
      <c r="AP23" s="35"/>
      <c r="AQ23" s="36"/>
      <c r="AR23" s="34" t="s">
        <v>67</v>
      </c>
      <c r="AS23" s="35"/>
      <c r="AT23" s="36"/>
      <c r="AU23" s="34" t="s">
        <v>83</v>
      </c>
    </row>
    <row r="24" ht="14.25" customHeight="1">
      <c r="A24" s="25">
        <v>24.0</v>
      </c>
      <c r="B24" s="26" t="s">
        <v>108</v>
      </c>
      <c r="C24" s="27">
        <v>25.0</v>
      </c>
      <c r="D24" s="27">
        <v>25.0</v>
      </c>
      <c r="E24" s="27">
        <v>26.0</v>
      </c>
      <c r="F24" s="27">
        <v>32.0</v>
      </c>
      <c r="G24" s="27">
        <v>49.0</v>
      </c>
      <c r="H24" s="27">
        <v>34.0</v>
      </c>
      <c r="I24" s="27">
        <v>47.0</v>
      </c>
      <c r="J24" s="27">
        <v>7.0</v>
      </c>
      <c r="K24" s="27">
        <v>30.0</v>
      </c>
      <c r="L24" s="27">
        <v>2.0</v>
      </c>
      <c r="M24" s="27">
        <v>31.0</v>
      </c>
      <c r="N24" s="27">
        <v>1.0</v>
      </c>
      <c r="O24" s="27">
        <v>28.0</v>
      </c>
      <c r="P24" s="27">
        <v>15.0</v>
      </c>
      <c r="Q24" s="27">
        <v>25.0</v>
      </c>
      <c r="R24" s="27">
        <v>38.0</v>
      </c>
      <c r="S24" s="27">
        <v>6.0</v>
      </c>
      <c r="T24" s="27">
        <v>25.0</v>
      </c>
      <c r="U24" s="27">
        <v>53.0</v>
      </c>
      <c r="V24" s="27">
        <v>21.0</v>
      </c>
      <c r="W24" s="27">
        <v>26.0</v>
      </c>
      <c r="X24" s="27">
        <v>22.0</v>
      </c>
      <c r="Y24" s="27">
        <v>32.0</v>
      </c>
      <c r="Z24" s="27">
        <v>30.0</v>
      </c>
      <c r="AA24" s="27">
        <v>14.0</v>
      </c>
      <c r="AB24" s="27">
        <v>22.0</v>
      </c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>
        <f t="shared" si="1"/>
        <v>666</v>
      </c>
      <c r="AN24" s="60"/>
      <c r="AO24" s="41"/>
      <c r="AP24" s="35"/>
      <c r="AQ24" s="41"/>
      <c r="AR24" s="42"/>
      <c r="AS24" s="35"/>
      <c r="AT24" s="41"/>
      <c r="AU24" s="42"/>
    </row>
    <row r="25" ht="14.25" customHeight="1">
      <c r="A25" s="25">
        <v>31.0</v>
      </c>
      <c r="B25" s="37" t="s">
        <v>109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>
        <f t="shared" si="1"/>
        <v>0</v>
      </c>
      <c r="AN25" s="33">
        <v>8.0</v>
      </c>
      <c r="AO25" s="34" t="s">
        <v>110</v>
      </c>
      <c r="AP25" s="35"/>
      <c r="AQ25" s="33" t="s">
        <v>111</v>
      </c>
      <c r="AR25" s="34" t="s">
        <v>51</v>
      </c>
      <c r="AS25" s="35"/>
      <c r="AT25" s="33">
        <v>8.0</v>
      </c>
      <c r="AU25" s="34" t="s">
        <v>110</v>
      </c>
    </row>
    <row r="26" ht="14.25" customHeight="1">
      <c r="A26" s="25">
        <v>33.0</v>
      </c>
      <c r="B26" s="37" t="s">
        <v>112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>
        <v>0.0</v>
      </c>
      <c r="Z26" s="27">
        <v>0.0</v>
      </c>
      <c r="AA26" s="27">
        <v>0.0</v>
      </c>
      <c r="AB26" s="27">
        <v>0.0</v>
      </c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>
        <f t="shared" si="1"/>
        <v>0</v>
      </c>
      <c r="AN26" s="36"/>
      <c r="AO26" s="34" t="s">
        <v>113</v>
      </c>
      <c r="AP26" s="35"/>
      <c r="AQ26" s="36"/>
      <c r="AR26" s="34" t="s">
        <v>56</v>
      </c>
      <c r="AS26" s="35"/>
      <c r="AT26" s="36"/>
      <c r="AU26" s="34" t="s">
        <v>113</v>
      </c>
    </row>
    <row r="27" ht="14.25" customHeight="1">
      <c r="A27" s="25">
        <v>34.0</v>
      </c>
      <c r="B27" s="37" t="s">
        <v>114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>
        <v>15.0</v>
      </c>
      <c r="Z27" s="27">
        <v>7.0</v>
      </c>
      <c r="AA27" s="27">
        <v>16.0</v>
      </c>
      <c r="AB27" s="27">
        <v>24.0</v>
      </c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>
        <f t="shared" si="1"/>
        <v>62</v>
      </c>
      <c r="AN27" s="60"/>
      <c r="AO27" s="41"/>
      <c r="AP27" s="35"/>
      <c r="AQ27" s="41"/>
      <c r="AR27" s="42"/>
      <c r="AS27" s="35"/>
      <c r="AT27" s="41"/>
      <c r="AU27" s="42"/>
    </row>
    <row r="28" ht="14.25" customHeight="1">
      <c r="A28" s="25">
        <v>35.0</v>
      </c>
      <c r="B28" s="37" t="s">
        <v>115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>
        <v>16.0</v>
      </c>
      <c r="Z28" s="27">
        <v>13.0</v>
      </c>
      <c r="AA28" s="27">
        <v>3.0</v>
      </c>
      <c r="AB28" s="27">
        <v>0.0</v>
      </c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>
        <f t="shared" si="1"/>
        <v>32</v>
      </c>
      <c r="AN28" s="33">
        <v>9.0</v>
      </c>
      <c r="AO28" s="34" t="s">
        <v>110</v>
      </c>
      <c r="AP28" s="35"/>
      <c r="AQ28" s="33">
        <v>9.0</v>
      </c>
      <c r="AR28" s="34" t="s">
        <v>110</v>
      </c>
      <c r="AS28" s="35"/>
      <c r="AT28" s="33">
        <v>9.0</v>
      </c>
      <c r="AU28" s="34" t="s">
        <v>110</v>
      </c>
    </row>
    <row r="29" ht="14.25" customHeight="1">
      <c r="A29" s="25">
        <v>38.0</v>
      </c>
      <c r="B29" s="37" t="s">
        <v>116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>
        <v>24.0</v>
      </c>
      <c r="Z29" s="27">
        <v>1.0</v>
      </c>
      <c r="AA29" s="27">
        <v>24.0</v>
      </c>
      <c r="AB29" s="27">
        <v>13.0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>
        <f t="shared" si="1"/>
        <v>62</v>
      </c>
      <c r="AN29" s="36"/>
      <c r="AO29" s="34" t="s">
        <v>113</v>
      </c>
      <c r="AP29" s="35"/>
      <c r="AQ29" s="36"/>
      <c r="AR29" s="34" t="s">
        <v>113</v>
      </c>
      <c r="AS29" s="35"/>
      <c r="AT29" s="36"/>
      <c r="AU29" s="34" t="s">
        <v>113</v>
      </c>
    </row>
    <row r="30" ht="14.25" customHeight="1">
      <c r="A30" s="25">
        <v>41.0</v>
      </c>
      <c r="B30" s="37" t="s">
        <v>117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>
        <v>9.0</v>
      </c>
      <c r="Z30" s="27">
        <v>8.0</v>
      </c>
      <c r="AA30" s="27">
        <v>15.0</v>
      </c>
      <c r="AB30" s="27">
        <v>27.0</v>
      </c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>
        <f t="shared" si="1"/>
        <v>59</v>
      </c>
      <c r="AN30" s="60"/>
      <c r="AO30" s="41"/>
      <c r="AP30" s="35"/>
      <c r="AQ30" s="41"/>
      <c r="AR30" s="42"/>
      <c r="AS30" s="35"/>
      <c r="AT30" s="41"/>
      <c r="AU30" s="42"/>
    </row>
    <row r="31" ht="14.25" customHeight="1">
      <c r="A31" s="25">
        <v>42.0</v>
      </c>
      <c r="B31" s="37" t="s">
        <v>118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>
        <v>18.0</v>
      </c>
      <c r="Z31" s="27">
        <v>15.0</v>
      </c>
      <c r="AA31" s="27">
        <v>6.0</v>
      </c>
      <c r="AB31" s="27">
        <v>24.0</v>
      </c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>
        <f t="shared" si="1"/>
        <v>63</v>
      </c>
      <c r="AN31" s="33">
        <v>10.0</v>
      </c>
      <c r="AO31" s="34" t="s">
        <v>110</v>
      </c>
      <c r="AP31" s="35"/>
      <c r="AQ31" s="33">
        <v>10.0</v>
      </c>
      <c r="AR31" s="34" t="s">
        <v>110</v>
      </c>
      <c r="AS31" s="35"/>
      <c r="AT31" s="33">
        <v>10.0</v>
      </c>
      <c r="AU31" s="34" t="s">
        <v>110</v>
      </c>
    </row>
    <row r="32" ht="14.25" customHeight="1">
      <c r="A32" s="25">
        <v>43.0</v>
      </c>
      <c r="B32" s="26" t="s">
        <v>100</v>
      </c>
      <c r="C32" s="27">
        <v>16.0</v>
      </c>
      <c r="D32" s="27">
        <v>13.0</v>
      </c>
      <c r="E32" s="27">
        <v>3.0</v>
      </c>
      <c r="F32" s="27">
        <v>27.0</v>
      </c>
      <c r="G32" s="27">
        <v>17.0</v>
      </c>
      <c r="H32" s="27">
        <v>27.0</v>
      </c>
      <c r="I32" s="27">
        <v>16.0</v>
      </c>
      <c r="J32" s="27">
        <v>14.0</v>
      </c>
      <c r="K32" s="27">
        <v>14.0</v>
      </c>
      <c r="L32" s="27">
        <v>14.0</v>
      </c>
      <c r="M32" s="27">
        <v>35.0</v>
      </c>
      <c r="N32" s="27">
        <v>18.0</v>
      </c>
      <c r="O32" s="27">
        <v>30.0</v>
      </c>
      <c r="P32" s="27">
        <v>26.0</v>
      </c>
      <c r="Q32" s="27">
        <v>44.0</v>
      </c>
      <c r="R32" s="27">
        <v>41.0</v>
      </c>
      <c r="S32" s="27">
        <v>17.0</v>
      </c>
      <c r="T32" s="27">
        <v>17.0</v>
      </c>
      <c r="U32" s="27">
        <v>22.0</v>
      </c>
      <c r="V32" s="27">
        <v>35.0</v>
      </c>
      <c r="W32" s="27">
        <v>16.0</v>
      </c>
      <c r="X32" s="27">
        <v>12.0</v>
      </c>
      <c r="Y32" s="27">
        <v>2.0</v>
      </c>
      <c r="Z32" s="27">
        <v>10.0</v>
      </c>
      <c r="AA32" s="27">
        <v>4.0</v>
      </c>
      <c r="AB32" s="27">
        <v>8.0</v>
      </c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>
        <f t="shared" si="1"/>
        <v>498</v>
      </c>
      <c r="AN32" s="36"/>
      <c r="AO32" s="34" t="s">
        <v>113</v>
      </c>
      <c r="AP32" s="35"/>
      <c r="AQ32" s="36"/>
      <c r="AR32" s="34" t="s">
        <v>113</v>
      </c>
      <c r="AS32" s="35"/>
      <c r="AT32" s="36"/>
      <c r="AU32" s="34" t="s">
        <v>113</v>
      </c>
    </row>
    <row r="33" ht="14.25" customHeight="1">
      <c r="A33" s="25">
        <v>44.0</v>
      </c>
      <c r="B33" s="37" t="s">
        <v>119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>
        <f t="shared" si="1"/>
        <v>0</v>
      </c>
      <c r="AO33" s="15"/>
      <c r="AP33" s="15"/>
      <c r="AS33" s="15"/>
    </row>
    <row r="34" ht="14.25" customHeight="1">
      <c r="A34" s="25">
        <v>45.0</v>
      </c>
      <c r="B34" s="26" t="s">
        <v>120</v>
      </c>
      <c r="C34" s="27">
        <v>58.0</v>
      </c>
      <c r="D34" s="27">
        <v>67.0</v>
      </c>
      <c r="E34" s="27">
        <v>61.0</v>
      </c>
      <c r="F34" s="27">
        <v>39.0</v>
      </c>
      <c r="G34" s="27">
        <v>30.0</v>
      </c>
      <c r="H34" s="27">
        <v>70.0</v>
      </c>
      <c r="I34" s="27">
        <v>28.0</v>
      </c>
      <c r="J34" s="27">
        <v>33.0</v>
      </c>
      <c r="K34" s="27">
        <v>71.0</v>
      </c>
      <c r="L34" s="27">
        <v>27.0</v>
      </c>
      <c r="M34" s="27">
        <v>42.0</v>
      </c>
      <c r="N34" s="27">
        <v>41.0</v>
      </c>
      <c r="O34" s="27">
        <v>53.0</v>
      </c>
      <c r="P34" s="27">
        <v>37.0</v>
      </c>
      <c r="Q34" s="27">
        <v>12.0</v>
      </c>
      <c r="R34" s="27">
        <v>35.0</v>
      </c>
      <c r="S34" s="27">
        <v>12.0</v>
      </c>
      <c r="T34" s="27">
        <v>2.0</v>
      </c>
      <c r="U34" s="27">
        <v>2.0</v>
      </c>
      <c r="V34" s="27">
        <v>47.0</v>
      </c>
      <c r="W34" s="27">
        <v>7.0</v>
      </c>
      <c r="X34" s="27">
        <v>28.0</v>
      </c>
      <c r="Y34" s="27">
        <v>1.0</v>
      </c>
      <c r="Z34" s="27">
        <v>28.0</v>
      </c>
      <c r="AA34" s="27">
        <v>29.0</v>
      </c>
      <c r="AB34" s="27">
        <v>34.0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>
        <f t="shared" si="1"/>
        <v>894</v>
      </c>
      <c r="AO34" s="15"/>
      <c r="AP34" s="15"/>
      <c r="AS34" s="15"/>
    </row>
    <row r="35" ht="14.25" customHeight="1">
      <c r="A35" s="25">
        <v>47.0</v>
      </c>
      <c r="B35" s="37" t="s">
        <v>121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>
        <v>19.0</v>
      </c>
      <c r="Z35" s="27">
        <v>6.0</v>
      </c>
      <c r="AA35" s="27">
        <v>9.0</v>
      </c>
      <c r="AB35" s="27">
        <v>32.0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>
        <f t="shared" si="1"/>
        <v>66</v>
      </c>
      <c r="AN35" s="66"/>
      <c r="AP35" s="15"/>
      <c r="AS35" s="15"/>
    </row>
    <row r="36" ht="14.25" customHeight="1">
      <c r="A36" s="25">
        <v>48.0</v>
      </c>
      <c r="B36" s="26" t="s">
        <v>122</v>
      </c>
      <c r="C36" s="27">
        <v>3.0</v>
      </c>
      <c r="D36" s="27">
        <v>14.0</v>
      </c>
      <c r="E36" s="27">
        <v>5.0</v>
      </c>
      <c r="F36" s="27">
        <v>0.0</v>
      </c>
      <c r="G36" s="27">
        <v>0.0</v>
      </c>
      <c r="H36" s="27">
        <v>0.0</v>
      </c>
      <c r="I36" s="27">
        <v>0.0</v>
      </c>
      <c r="J36" s="27">
        <v>1.0</v>
      </c>
      <c r="K36" s="27">
        <v>19.0</v>
      </c>
      <c r="L36" s="27">
        <v>37.0</v>
      </c>
      <c r="M36" s="27">
        <v>35.0</v>
      </c>
      <c r="N36" s="27">
        <v>12.0</v>
      </c>
      <c r="O36" s="27">
        <v>20.0</v>
      </c>
      <c r="P36" s="27">
        <v>13.0</v>
      </c>
      <c r="Q36" s="27">
        <v>18.0</v>
      </c>
      <c r="R36" s="27">
        <v>10.0</v>
      </c>
      <c r="S36" s="27">
        <v>11.0</v>
      </c>
      <c r="T36" s="27">
        <v>32.0</v>
      </c>
      <c r="U36" s="27">
        <v>35.0</v>
      </c>
      <c r="V36" s="27">
        <v>15.0</v>
      </c>
      <c r="W36" s="27">
        <v>11.0</v>
      </c>
      <c r="X36" s="27">
        <v>18.0</v>
      </c>
      <c r="Y36" s="27">
        <v>3.0</v>
      </c>
      <c r="Z36" s="27">
        <v>27.0</v>
      </c>
      <c r="AA36" s="27">
        <v>22.0</v>
      </c>
      <c r="AB36" s="27">
        <v>29.0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>
        <f t="shared" si="1"/>
        <v>390</v>
      </c>
      <c r="AN36" s="67"/>
      <c r="AP36" s="15"/>
      <c r="AS36" s="15"/>
    </row>
    <row r="37" ht="14.25" customHeight="1">
      <c r="A37" s="25">
        <v>50.0</v>
      </c>
      <c r="B37" s="37" t="s">
        <v>123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>
        <f t="shared" si="1"/>
        <v>0</v>
      </c>
      <c r="AN37" s="67"/>
      <c r="AP37" s="15"/>
      <c r="AS37" s="15"/>
    </row>
    <row r="38" ht="14.25" customHeight="1">
      <c r="A38" s="25">
        <v>51.0</v>
      </c>
      <c r="B38" s="37" t="s">
        <v>124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>
        <v>5.0</v>
      </c>
      <c r="Z38" s="27">
        <v>3.0</v>
      </c>
      <c r="AA38" s="27">
        <v>8.0</v>
      </c>
      <c r="AB38" s="27">
        <v>2.0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>
        <f t="shared" si="1"/>
        <v>18</v>
      </c>
      <c r="AN38" s="67"/>
      <c r="AP38" s="15"/>
      <c r="AS38" s="15"/>
    </row>
    <row r="39" ht="14.25" customHeight="1">
      <c r="A39" s="25">
        <v>54.0</v>
      </c>
      <c r="B39" s="26" t="s">
        <v>125</v>
      </c>
      <c r="C39" s="27">
        <v>14.0</v>
      </c>
      <c r="D39" s="27">
        <v>1.0</v>
      </c>
      <c r="E39" s="27">
        <v>48.0</v>
      </c>
      <c r="F39" s="27">
        <v>36.0</v>
      </c>
      <c r="G39" s="27">
        <v>39.0</v>
      </c>
      <c r="H39" s="27">
        <v>33.0</v>
      </c>
      <c r="I39" s="27">
        <v>49.0</v>
      </c>
      <c r="J39" s="27">
        <v>59.0</v>
      </c>
      <c r="K39" s="27">
        <v>38.0</v>
      </c>
      <c r="L39" s="27">
        <v>3.0</v>
      </c>
      <c r="M39" s="27">
        <v>8.0</v>
      </c>
      <c r="N39" s="27">
        <v>42.0</v>
      </c>
      <c r="O39" s="27">
        <v>53.0</v>
      </c>
      <c r="P39" s="27">
        <v>24.0</v>
      </c>
      <c r="Q39" s="27">
        <v>21.0</v>
      </c>
      <c r="R39" s="27">
        <v>36.0</v>
      </c>
      <c r="S39" s="27">
        <v>29.0</v>
      </c>
      <c r="T39" s="27">
        <v>54.0</v>
      </c>
      <c r="U39" s="27">
        <v>38.0</v>
      </c>
      <c r="V39" s="27">
        <v>38.0</v>
      </c>
      <c r="W39" s="27">
        <v>43.0</v>
      </c>
      <c r="X39" s="27">
        <v>43.0</v>
      </c>
      <c r="Y39" s="27">
        <v>69.0</v>
      </c>
      <c r="Z39" s="27">
        <v>22.0</v>
      </c>
      <c r="AA39" s="27">
        <v>38.0</v>
      </c>
      <c r="AB39" s="27">
        <v>12.0</v>
      </c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>
        <f t="shared" si="1"/>
        <v>890</v>
      </c>
      <c r="AN39" s="70"/>
      <c r="AP39" s="15"/>
      <c r="AS39" s="15"/>
    </row>
    <row r="40" ht="14.25" customHeight="1">
      <c r="A40" s="25">
        <v>60.0</v>
      </c>
      <c r="B40" s="72" t="s">
        <v>126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>
        <v>17.0</v>
      </c>
      <c r="Z40" s="27">
        <v>20.0</v>
      </c>
      <c r="AA40" s="27">
        <v>38.0</v>
      </c>
      <c r="AB40" s="27">
        <v>67.0</v>
      </c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>
        <f t="shared" si="1"/>
        <v>142</v>
      </c>
      <c r="AN40" s="73"/>
      <c r="AP40" s="15"/>
      <c r="AS40" s="15"/>
    </row>
    <row r="41" ht="14.25" customHeight="1">
      <c r="A41" s="25">
        <v>71.0</v>
      </c>
      <c r="B41" s="72" t="s">
        <v>127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>
        <v>12.0</v>
      </c>
      <c r="Z41" s="27">
        <v>9.0</v>
      </c>
      <c r="AA41" s="27">
        <v>21.0</v>
      </c>
      <c r="AB41" s="27">
        <v>33.0</v>
      </c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>
        <f t="shared" si="1"/>
        <v>75</v>
      </c>
      <c r="AO41" s="15"/>
      <c r="AP41" s="15"/>
      <c r="AS41" s="15"/>
    </row>
    <row r="42" ht="14.25" customHeight="1">
      <c r="A42" s="25">
        <v>77.0</v>
      </c>
      <c r="B42" s="26" t="s">
        <v>128</v>
      </c>
      <c r="C42" s="27"/>
      <c r="D42" s="27"/>
      <c r="E42" s="27"/>
      <c r="F42" s="27">
        <v>21.0</v>
      </c>
      <c r="G42" s="27">
        <v>15.0</v>
      </c>
      <c r="H42" s="27">
        <v>33.0</v>
      </c>
      <c r="I42" s="27">
        <v>20.0</v>
      </c>
      <c r="J42" s="27">
        <v>38.0</v>
      </c>
      <c r="K42" s="27">
        <v>28.0</v>
      </c>
      <c r="L42" s="27">
        <v>55.0</v>
      </c>
      <c r="M42" s="27">
        <v>41.0</v>
      </c>
      <c r="N42" s="27">
        <v>9.0</v>
      </c>
      <c r="O42" s="27">
        <v>14.0</v>
      </c>
      <c r="P42" s="27">
        <v>27.0</v>
      </c>
      <c r="Q42" s="27">
        <v>45.0</v>
      </c>
      <c r="R42" s="27">
        <v>21.0</v>
      </c>
      <c r="S42" s="27">
        <v>27.0</v>
      </c>
      <c r="T42" s="27">
        <v>33.0</v>
      </c>
      <c r="U42" s="27">
        <v>15.0</v>
      </c>
      <c r="V42" s="27">
        <v>39.0</v>
      </c>
      <c r="W42" s="27">
        <v>35.0</v>
      </c>
      <c r="X42" s="27">
        <v>40.0</v>
      </c>
      <c r="Y42" s="27">
        <v>6.0</v>
      </c>
      <c r="Z42" s="27">
        <v>1.0</v>
      </c>
      <c r="AA42" s="27">
        <v>27.0</v>
      </c>
      <c r="AB42" s="27">
        <v>1.0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>
        <f t="shared" si="1"/>
        <v>591</v>
      </c>
      <c r="AO42" s="15"/>
      <c r="AP42" s="15"/>
      <c r="AS42" s="15"/>
    </row>
    <row r="43" ht="14.25" customHeight="1">
      <c r="A43" s="25">
        <v>78.0</v>
      </c>
      <c r="B43" s="77" t="s">
        <v>129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>
        <f t="shared" si="1"/>
        <v>0</v>
      </c>
      <c r="AO43" s="15"/>
      <c r="AP43" s="15"/>
      <c r="AS43" s="15"/>
    </row>
    <row r="44" ht="14.25" customHeight="1">
      <c r="A44" s="25">
        <v>84.0</v>
      </c>
      <c r="B44" s="72" t="s">
        <v>130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>
        <f t="shared" si="1"/>
        <v>0</v>
      </c>
      <c r="AO44" s="15"/>
      <c r="AP44" s="15"/>
      <c r="AS44" s="15"/>
    </row>
    <row r="45" ht="14.25" customHeight="1">
      <c r="A45" s="25">
        <v>88.0</v>
      </c>
      <c r="B45" s="26" t="s">
        <v>131</v>
      </c>
      <c r="C45" s="27">
        <v>4.0</v>
      </c>
      <c r="D45" s="27">
        <v>9.0</v>
      </c>
      <c r="E45" s="27">
        <v>23.0</v>
      </c>
      <c r="F45" s="27">
        <v>8.0</v>
      </c>
      <c r="G45" s="27">
        <v>5.0</v>
      </c>
      <c r="H45" s="27">
        <v>19.0</v>
      </c>
      <c r="I45" s="27">
        <v>11.0</v>
      </c>
      <c r="J45" s="27">
        <v>4.0</v>
      </c>
      <c r="K45" s="27">
        <v>8.0</v>
      </c>
      <c r="L45" s="27">
        <v>11.0</v>
      </c>
      <c r="M45" s="27">
        <v>21.0</v>
      </c>
      <c r="N45" s="27">
        <v>21.0</v>
      </c>
      <c r="O45" s="27">
        <v>1.0</v>
      </c>
      <c r="P45" s="27">
        <v>1.0</v>
      </c>
      <c r="Q45" s="27">
        <v>1.0</v>
      </c>
      <c r="R45" s="27">
        <v>14.0</v>
      </c>
      <c r="S45" s="27">
        <v>3.0</v>
      </c>
      <c r="T45" s="27">
        <v>33.0</v>
      </c>
      <c r="U45" s="27">
        <v>1.0</v>
      </c>
      <c r="V45" s="27">
        <v>9.0</v>
      </c>
      <c r="W45" s="27">
        <v>5.0</v>
      </c>
      <c r="X45" s="27">
        <v>3.0</v>
      </c>
      <c r="Y45" s="27">
        <v>29.0</v>
      </c>
      <c r="Z45" s="27">
        <v>12.0</v>
      </c>
      <c r="AA45" s="27">
        <v>2.0</v>
      </c>
      <c r="AB45" s="27">
        <v>12.0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>
        <f t="shared" si="1"/>
        <v>270</v>
      </c>
      <c r="AO45" s="15"/>
      <c r="AP45" s="15"/>
      <c r="AS45" s="15"/>
    </row>
    <row r="46" ht="14.25" customHeight="1">
      <c r="A46" s="25">
        <v>97.0</v>
      </c>
      <c r="B46" s="26" t="s">
        <v>132</v>
      </c>
      <c r="C46" s="27">
        <v>7.0</v>
      </c>
      <c r="D46" s="27">
        <v>32.0</v>
      </c>
      <c r="E46" s="27">
        <v>45.0</v>
      </c>
      <c r="F46" s="27">
        <v>26.0</v>
      </c>
      <c r="G46" s="27">
        <v>1.0</v>
      </c>
      <c r="H46" s="27">
        <v>23.0</v>
      </c>
      <c r="I46" s="27">
        <v>34.0</v>
      </c>
      <c r="J46" s="27">
        <v>3.0</v>
      </c>
      <c r="K46" s="27">
        <v>1.0</v>
      </c>
      <c r="L46" s="27">
        <v>17.0</v>
      </c>
      <c r="M46" s="27">
        <v>20.0</v>
      </c>
      <c r="N46" s="27">
        <v>68.0</v>
      </c>
      <c r="O46" s="27">
        <v>33.0</v>
      </c>
      <c r="P46" s="27">
        <v>32.0</v>
      </c>
      <c r="Q46" s="27">
        <v>7.0</v>
      </c>
      <c r="R46" s="27">
        <v>6.0</v>
      </c>
      <c r="S46" s="27">
        <v>1.0</v>
      </c>
      <c r="T46" s="27">
        <v>63.0</v>
      </c>
      <c r="U46" s="27">
        <v>12.0</v>
      </c>
      <c r="V46" s="27">
        <v>32.0</v>
      </c>
      <c r="W46" s="27">
        <v>47.0</v>
      </c>
      <c r="X46" s="27">
        <v>21.0</v>
      </c>
      <c r="Y46" s="27">
        <v>7.0</v>
      </c>
      <c r="Z46" s="27">
        <v>23.0</v>
      </c>
      <c r="AA46" s="27">
        <v>19.0</v>
      </c>
      <c r="AB46" s="27">
        <v>19.0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>
        <f t="shared" si="1"/>
        <v>599</v>
      </c>
      <c r="AO46" s="15"/>
      <c r="AP46" s="15"/>
      <c r="AS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O47" s="15"/>
      <c r="AP47" s="15"/>
      <c r="AS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O48" s="15"/>
      <c r="AP48" s="15"/>
      <c r="AS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O49" s="15"/>
      <c r="AP49" s="15"/>
      <c r="AS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O50" s="15"/>
      <c r="AP50" s="15"/>
      <c r="AS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O51" s="15"/>
      <c r="AP51" s="15"/>
      <c r="AS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O52" s="15"/>
      <c r="AP52" s="15"/>
      <c r="AS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O53" s="15"/>
      <c r="AP53" s="15"/>
      <c r="AS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O54" s="15"/>
      <c r="AP54" s="15"/>
      <c r="AS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O55" s="15"/>
      <c r="AP55" s="15"/>
      <c r="AS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O56" s="15"/>
      <c r="AP56" s="15"/>
      <c r="AS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O57" s="15"/>
      <c r="AP57" s="15"/>
      <c r="AS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O58" s="15"/>
      <c r="AP58" s="15"/>
      <c r="AS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O59" s="15"/>
      <c r="AP59" s="15"/>
      <c r="AS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O60" s="15"/>
      <c r="AP60" s="15"/>
      <c r="AS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O61" s="15"/>
      <c r="AP61" s="15"/>
      <c r="AS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O62" s="15"/>
      <c r="AP62" s="15"/>
      <c r="AS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O63" s="15"/>
      <c r="AP63" s="15"/>
      <c r="AS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O64" s="15"/>
      <c r="AP64" s="15"/>
      <c r="AS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O65" s="15"/>
      <c r="AP65" s="15"/>
      <c r="AS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O66" s="15"/>
      <c r="AP66" s="15"/>
      <c r="AS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O67" s="15"/>
      <c r="AP67" s="15"/>
      <c r="AS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O68" s="15"/>
      <c r="AP68" s="15"/>
      <c r="AS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O69" s="15"/>
      <c r="AP69" s="15"/>
      <c r="AS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O70" s="15"/>
      <c r="AP70" s="15"/>
      <c r="AS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O71" s="15"/>
      <c r="AP71" s="15"/>
      <c r="AS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O72" s="15"/>
      <c r="AP72" s="15"/>
      <c r="AS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O73" s="15"/>
      <c r="AP73" s="15"/>
      <c r="AS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O74" s="15"/>
      <c r="AP74" s="15"/>
      <c r="AS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O75" s="15"/>
      <c r="AP75" s="15"/>
      <c r="AS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O76" s="15"/>
      <c r="AP76" s="15"/>
      <c r="AS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O77" s="15"/>
      <c r="AP77" s="15"/>
      <c r="AS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O78" s="15"/>
      <c r="AP78" s="15"/>
      <c r="AS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O79" s="15"/>
      <c r="AP79" s="15"/>
      <c r="AS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O80" s="15"/>
      <c r="AP80" s="15"/>
      <c r="AS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O81" s="15"/>
      <c r="AP81" s="15"/>
      <c r="AS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O82" s="15"/>
      <c r="AP82" s="15"/>
      <c r="AS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O83" s="15"/>
      <c r="AP83" s="15"/>
      <c r="AS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O84" s="15"/>
      <c r="AP84" s="15"/>
      <c r="AS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O85" s="15"/>
      <c r="AP85" s="15"/>
      <c r="AS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O86" s="15"/>
      <c r="AP86" s="15"/>
      <c r="AS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O87" s="15"/>
      <c r="AP87" s="15"/>
      <c r="AS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O88" s="15"/>
      <c r="AP88" s="15"/>
      <c r="AS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O89" s="15"/>
      <c r="AP89" s="15"/>
      <c r="AS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O90" s="15"/>
      <c r="AP90" s="15"/>
      <c r="AS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O91" s="15"/>
      <c r="AP91" s="15"/>
      <c r="AS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O92" s="15"/>
      <c r="AP92" s="15"/>
      <c r="AS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O93" s="15"/>
      <c r="AP93" s="15"/>
      <c r="AS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O94" s="15"/>
      <c r="AP94" s="15"/>
      <c r="AS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O95" s="15"/>
      <c r="AP95" s="15"/>
      <c r="AS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O96" s="15"/>
      <c r="AP96" s="15"/>
      <c r="AS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O97" s="15"/>
      <c r="AP97" s="15"/>
      <c r="AS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O98" s="15"/>
      <c r="AP98" s="15"/>
      <c r="AS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O99" s="15"/>
      <c r="AP99" s="15"/>
      <c r="AS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O100" s="15"/>
      <c r="AP100" s="15"/>
      <c r="AS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O101" s="15"/>
      <c r="AP101" s="15"/>
      <c r="AS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O102" s="15"/>
      <c r="AP102" s="15"/>
      <c r="AS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O103" s="15"/>
      <c r="AP103" s="15"/>
      <c r="AS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O104" s="15"/>
      <c r="AP104" s="15"/>
      <c r="AS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O105" s="15"/>
      <c r="AP105" s="15"/>
      <c r="AS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O106" s="15"/>
      <c r="AP106" s="15"/>
      <c r="AS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O107" s="15"/>
      <c r="AP107" s="15"/>
      <c r="AS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O108" s="15"/>
      <c r="AP108" s="15"/>
      <c r="AS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O109" s="15"/>
      <c r="AP109" s="15"/>
      <c r="AS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O110" s="15"/>
      <c r="AP110" s="15"/>
      <c r="AS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O111" s="15"/>
      <c r="AP111" s="15"/>
      <c r="AS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O112" s="15"/>
      <c r="AP112" s="15"/>
      <c r="AS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O113" s="15"/>
      <c r="AP113" s="15"/>
      <c r="AS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O114" s="15"/>
      <c r="AP114" s="15"/>
      <c r="AS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O115" s="15"/>
      <c r="AP115" s="15"/>
      <c r="AS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O116" s="15"/>
      <c r="AP116" s="15"/>
      <c r="AS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O117" s="15"/>
      <c r="AP117" s="15"/>
      <c r="AS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O118" s="15"/>
      <c r="AP118" s="15"/>
      <c r="AS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O119" s="15"/>
      <c r="AP119" s="15"/>
      <c r="AS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O120" s="15"/>
      <c r="AP120" s="15"/>
      <c r="AS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O121" s="15"/>
      <c r="AP121" s="15"/>
      <c r="AS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O122" s="15"/>
      <c r="AP122" s="15"/>
      <c r="AS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O123" s="15"/>
      <c r="AP123" s="15"/>
      <c r="AS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O124" s="15"/>
      <c r="AP124" s="15"/>
      <c r="AS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O125" s="15"/>
      <c r="AP125" s="15"/>
      <c r="AS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O126" s="15"/>
      <c r="AP126" s="15"/>
      <c r="AS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O127" s="15"/>
      <c r="AP127" s="15"/>
      <c r="AS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O128" s="15"/>
      <c r="AP128" s="15"/>
      <c r="AS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O129" s="15"/>
      <c r="AP129" s="15"/>
      <c r="AS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O130" s="15"/>
      <c r="AP130" s="15"/>
      <c r="AS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O131" s="15"/>
      <c r="AP131" s="15"/>
      <c r="AS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O132" s="15"/>
      <c r="AP132" s="15"/>
      <c r="AS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O133" s="15"/>
      <c r="AP133" s="15"/>
      <c r="AS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O134" s="15"/>
      <c r="AP134" s="15"/>
      <c r="AS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O135" s="15"/>
      <c r="AP135" s="15"/>
      <c r="AS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O136" s="15"/>
      <c r="AP136" s="15"/>
      <c r="AS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O137" s="15"/>
      <c r="AP137" s="15"/>
      <c r="AS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O138" s="15"/>
      <c r="AP138" s="15"/>
      <c r="AS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O139" s="15"/>
      <c r="AP139" s="15"/>
      <c r="AS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O140" s="15"/>
      <c r="AP140" s="15"/>
      <c r="AS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O141" s="15"/>
      <c r="AP141" s="15"/>
      <c r="AS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O142" s="15"/>
      <c r="AP142" s="15"/>
      <c r="AS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O143" s="15"/>
      <c r="AP143" s="15"/>
      <c r="AS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O144" s="15"/>
      <c r="AP144" s="15"/>
      <c r="AS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O145" s="15"/>
      <c r="AP145" s="15"/>
      <c r="AS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O146" s="15"/>
      <c r="AP146" s="15"/>
      <c r="AS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O147" s="15"/>
      <c r="AP147" s="15"/>
      <c r="AS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O148" s="15"/>
      <c r="AP148" s="15"/>
      <c r="AS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O149" s="15"/>
      <c r="AP149" s="15"/>
      <c r="AS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O150" s="15"/>
      <c r="AP150" s="15"/>
      <c r="AS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O151" s="15"/>
      <c r="AP151" s="15"/>
      <c r="AS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O152" s="15"/>
      <c r="AP152" s="15"/>
      <c r="AS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O153" s="15"/>
      <c r="AP153" s="15"/>
      <c r="AS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O154" s="15"/>
      <c r="AP154" s="15"/>
      <c r="AS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O155" s="15"/>
      <c r="AP155" s="15"/>
      <c r="AS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O156" s="15"/>
      <c r="AP156" s="15"/>
      <c r="AS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O157" s="15"/>
      <c r="AP157" s="15"/>
      <c r="AS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O158" s="15"/>
      <c r="AP158" s="15"/>
      <c r="AS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O159" s="15"/>
      <c r="AP159" s="15"/>
      <c r="AS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O160" s="15"/>
      <c r="AP160" s="15"/>
      <c r="AS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O161" s="15"/>
      <c r="AP161" s="15"/>
      <c r="AS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O162" s="15"/>
      <c r="AP162" s="15"/>
      <c r="AS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O163" s="15"/>
      <c r="AP163" s="15"/>
      <c r="AS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O164" s="15"/>
      <c r="AP164" s="15"/>
      <c r="AS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O165" s="15"/>
      <c r="AP165" s="15"/>
      <c r="AS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O166" s="15"/>
      <c r="AP166" s="15"/>
      <c r="AS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O167" s="15"/>
      <c r="AP167" s="15"/>
      <c r="AS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O168" s="15"/>
      <c r="AP168" s="15"/>
      <c r="AS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O169" s="15"/>
      <c r="AP169" s="15"/>
      <c r="AS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O170" s="15"/>
      <c r="AP170" s="15"/>
      <c r="AS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O171" s="15"/>
      <c r="AP171" s="15"/>
      <c r="AS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O172" s="15"/>
      <c r="AP172" s="15"/>
      <c r="AS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O173" s="15"/>
      <c r="AP173" s="15"/>
      <c r="AS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O174" s="15"/>
      <c r="AP174" s="15"/>
      <c r="AS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O175" s="15"/>
      <c r="AP175" s="15"/>
      <c r="AS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O176" s="15"/>
      <c r="AP176" s="15"/>
      <c r="AS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O177" s="15"/>
      <c r="AP177" s="15"/>
      <c r="AS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O178" s="15"/>
      <c r="AP178" s="15"/>
      <c r="AS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O179" s="15"/>
      <c r="AP179" s="15"/>
      <c r="AS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O180" s="15"/>
      <c r="AP180" s="15"/>
      <c r="AS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O181" s="15"/>
      <c r="AP181" s="15"/>
      <c r="AS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O182" s="15"/>
      <c r="AP182" s="15"/>
      <c r="AS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O183" s="15"/>
      <c r="AP183" s="15"/>
      <c r="AS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O184" s="15"/>
      <c r="AP184" s="15"/>
      <c r="AS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O185" s="15"/>
      <c r="AP185" s="15"/>
      <c r="AS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O186" s="15"/>
      <c r="AP186" s="15"/>
      <c r="AS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O187" s="15"/>
      <c r="AP187" s="15"/>
      <c r="AS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O188" s="15"/>
      <c r="AP188" s="15"/>
      <c r="AS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O189" s="15"/>
      <c r="AP189" s="15"/>
      <c r="AS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O190" s="15"/>
      <c r="AP190" s="15"/>
      <c r="AS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O191" s="15"/>
      <c r="AP191" s="15"/>
      <c r="AS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O192" s="15"/>
      <c r="AP192" s="15"/>
      <c r="AS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O193" s="15"/>
      <c r="AP193" s="15"/>
      <c r="AS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O194" s="15"/>
      <c r="AP194" s="15"/>
      <c r="AS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O195" s="15"/>
      <c r="AP195" s="15"/>
      <c r="AS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O196" s="15"/>
      <c r="AP196" s="15"/>
      <c r="AS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O197" s="15"/>
      <c r="AP197" s="15"/>
      <c r="AS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O198" s="15"/>
      <c r="AP198" s="15"/>
      <c r="AS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O199" s="15"/>
      <c r="AP199" s="15"/>
      <c r="AS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O200" s="15"/>
      <c r="AP200" s="15"/>
      <c r="AS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O201" s="15"/>
      <c r="AP201" s="15"/>
      <c r="AS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O202" s="15"/>
      <c r="AP202" s="15"/>
      <c r="AS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O203" s="15"/>
      <c r="AP203" s="15"/>
      <c r="AS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O204" s="15"/>
      <c r="AP204" s="15"/>
      <c r="AS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O205" s="15"/>
      <c r="AP205" s="15"/>
      <c r="AS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O206" s="15"/>
      <c r="AP206" s="15"/>
      <c r="AS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O207" s="15"/>
      <c r="AP207" s="15"/>
      <c r="AS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O208" s="15"/>
      <c r="AP208" s="15"/>
      <c r="AS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O209" s="15"/>
      <c r="AP209" s="15"/>
      <c r="AS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O210" s="15"/>
      <c r="AP210" s="15"/>
      <c r="AS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O211" s="15"/>
      <c r="AP211" s="15"/>
      <c r="AS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O212" s="15"/>
      <c r="AP212" s="15"/>
      <c r="AS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O213" s="15"/>
      <c r="AP213" s="15"/>
      <c r="AS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O214" s="15"/>
      <c r="AP214" s="15"/>
      <c r="AS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O215" s="15"/>
      <c r="AP215" s="15"/>
      <c r="AS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O216" s="15"/>
      <c r="AP216" s="15"/>
      <c r="AS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O217" s="15"/>
      <c r="AP217" s="15"/>
      <c r="AS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O218" s="15"/>
      <c r="AP218" s="15"/>
      <c r="AS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O219" s="15"/>
      <c r="AP219" s="15"/>
      <c r="AS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O220" s="15"/>
      <c r="AP220" s="15"/>
      <c r="AS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O221" s="15"/>
      <c r="AP221" s="15"/>
      <c r="AS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O222" s="15"/>
      <c r="AP222" s="15"/>
      <c r="AS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O223" s="15"/>
      <c r="AP223" s="15"/>
      <c r="AS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O224" s="15"/>
      <c r="AP224" s="15"/>
      <c r="AS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O225" s="15"/>
      <c r="AP225" s="15"/>
      <c r="AS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O226" s="15"/>
      <c r="AP226" s="15"/>
      <c r="AS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O227" s="15"/>
      <c r="AP227" s="15"/>
      <c r="AS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O228" s="15"/>
      <c r="AP228" s="15"/>
      <c r="AS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O229" s="15"/>
      <c r="AP229" s="15"/>
      <c r="AS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O230" s="15"/>
      <c r="AP230" s="15"/>
      <c r="AS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O231" s="15"/>
      <c r="AP231" s="15"/>
      <c r="AS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O232" s="15"/>
      <c r="AP232" s="15"/>
      <c r="AS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O233" s="15"/>
      <c r="AP233" s="15"/>
      <c r="AS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O234" s="15"/>
      <c r="AP234" s="15"/>
      <c r="AS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O235" s="15"/>
      <c r="AP235" s="15"/>
      <c r="AS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O236" s="15"/>
      <c r="AP236" s="15"/>
      <c r="AS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O237" s="15"/>
      <c r="AP237" s="15"/>
      <c r="AS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O238" s="15"/>
      <c r="AP238" s="15"/>
      <c r="AS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O239" s="15"/>
      <c r="AP239" s="15"/>
      <c r="AS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O240" s="15"/>
      <c r="AP240" s="15"/>
      <c r="AS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O241" s="15"/>
      <c r="AP241" s="15"/>
      <c r="AS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O242" s="15"/>
      <c r="AP242" s="15"/>
      <c r="AS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O243" s="15"/>
      <c r="AP243" s="15"/>
      <c r="AS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O244" s="15"/>
      <c r="AP244" s="15"/>
      <c r="AS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O245" s="15"/>
      <c r="AP245" s="15"/>
      <c r="AS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O246" s="15"/>
      <c r="AP246" s="15"/>
      <c r="AS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O247" s="15"/>
      <c r="AP247" s="15"/>
      <c r="AS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O248" s="15"/>
      <c r="AP248" s="15"/>
      <c r="AS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O249" s="15"/>
      <c r="AP249" s="15"/>
      <c r="AS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O250" s="15"/>
      <c r="AP250" s="15"/>
      <c r="AS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O251" s="15"/>
      <c r="AP251" s="15"/>
      <c r="AS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O252" s="15"/>
      <c r="AP252" s="15"/>
      <c r="AS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O253" s="15"/>
      <c r="AP253" s="15"/>
      <c r="AS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O254" s="15"/>
      <c r="AP254" s="15"/>
      <c r="AS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O255" s="15"/>
      <c r="AP255" s="15"/>
      <c r="AS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O256" s="15"/>
      <c r="AP256" s="15"/>
      <c r="AS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O257" s="15"/>
      <c r="AP257" s="15"/>
      <c r="AS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O258" s="15"/>
      <c r="AP258" s="15"/>
      <c r="AS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O259" s="15"/>
      <c r="AP259" s="15"/>
      <c r="AS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O260" s="15"/>
      <c r="AP260" s="15"/>
      <c r="AS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O261" s="15"/>
      <c r="AP261" s="15"/>
      <c r="AS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O262" s="15"/>
      <c r="AP262" s="15"/>
      <c r="AS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O263" s="15"/>
      <c r="AP263" s="15"/>
      <c r="AS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O264" s="15"/>
      <c r="AP264" s="15"/>
      <c r="AS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O265" s="15"/>
      <c r="AP265" s="15"/>
      <c r="AS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O266" s="15"/>
      <c r="AP266" s="15"/>
      <c r="AS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O267" s="15"/>
      <c r="AP267" s="15"/>
      <c r="AS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O268" s="15"/>
      <c r="AP268" s="15"/>
      <c r="AS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O269" s="15"/>
      <c r="AP269" s="15"/>
      <c r="AS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O270" s="15"/>
      <c r="AP270" s="15"/>
      <c r="AS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O271" s="15"/>
      <c r="AP271" s="15"/>
      <c r="AS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O272" s="15"/>
      <c r="AP272" s="15"/>
      <c r="AS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O273" s="15"/>
      <c r="AP273" s="15"/>
      <c r="AS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O274" s="15"/>
      <c r="AP274" s="15"/>
      <c r="AS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O275" s="15"/>
      <c r="AP275" s="15"/>
      <c r="AS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O276" s="15"/>
      <c r="AP276" s="15"/>
      <c r="AS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O277" s="15"/>
      <c r="AP277" s="15"/>
      <c r="AS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O278" s="15"/>
      <c r="AP278" s="15"/>
      <c r="AS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O279" s="15"/>
      <c r="AP279" s="15"/>
      <c r="AS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O280" s="15"/>
      <c r="AP280" s="15"/>
      <c r="AS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O281" s="15"/>
      <c r="AP281" s="15"/>
      <c r="AS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O282" s="15"/>
      <c r="AP282" s="15"/>
      <c r="AS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O283" s="15"/>
      <c r="AP283" s="15"/>
      <c r="AS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O284" s="15"/>
      <c r="AP284" s="15"/>
      <c r="AS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O285" s="15"/>
      <c r="AP285" s="15"/>
      <c r="AS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O286" s="15"/>
      <c r="AP286" s="15"/>
      <c r="AS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O287" s="15"/>
      <c r="AP287" s="15"/>
      <c r="AS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O288" s="15"/>
      <c r="AP288" s="15"/>
      <c r="AS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O289" s="15"/>
      <c r="AP289" s="15"/>
      <c r="AS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O290" s="15"/>
      <c r="AP290" s="15"/>
      <c r="AS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O291" s="15"/>
      <c r="AP291" s="15"/>
      <c r="AS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O292" s="15"/>
      <c r="AP292" s="15"/>
      <c r="AS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O293" s="15"/>
      <c r="AP293" s="15"/>
      <c r="AS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O294" s="15"/>
      <c r="AP294" s="15"/>
      <c r="AS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O295" s="15"/>
      <c r="AP295" s="15"/>
      <c r="AS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O296" s="15"/>
      <c r="AP296" s="15"/>
      <c r="AS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O297" s="15"/>
      <c r="AP297" s="15"/>
      <c r="AS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O298" s="15"/>
      <c r="AP298" s="15"/>
      <c r="AS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O299" s="15"/>
      <c r="AP299" s="15"/>
      <c r="AS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O300" s="15"/>
      <c r="AP300" s="15"/>
      <c r="AS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O301" s="15"/>
      <c r="AP301" s="15"/>
      <c r="AS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O302" s="15"/>
      <c r="AP302" s="15"/>
      <c r="AS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O303" s="15"/>
      <c r="AP303" s="15"/>
      <c r="AS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O304" s="15"/>
      <c r="AP304" s="15"/>
      <c r="AS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O305" s="15"/>
      <c r="AP305" s="15"/>
      <c r="AS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O306" s="15"/>
      <c r="AP306" s="15"/>
      <c r="AS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O307" s="15"/>
      <c r="AP307" s="15"/>
      <c r="AS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O308" s="15"/>
      <c r="AP308" s="15"/>
      <c r="AS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O309" s="15"/>
      <c r="AP309" s="15"/>
      <c r="AS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O310" s="15"/>
      <c r="AP310" s="15"/>
      <c r="AS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O311" s="15"/>
      <c r="AP311" s="15"/>
      <c r="AS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O312" s="15"/>
      <c r="AP312" s="15"/>
      <c r="AS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O313" s="15"/>
      <c r="AP313" s="15"/>
      <c r="AS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O314" s="15"/>
      <c r="AP314" s="15"/>
      <c r="AS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O315" s="15"/>
      <c r="AP315" s="15"/>
      <c r="AS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O316" s="15"/>
      <c r="AP316" s="15"/>
      <c r="AS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O317" s="15"/>
      <c r="AP317" s="15"/>
      <c r="AS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O318" s="15"/>
      <c r="AP318" s="15"/>
      <c r="AS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O319" s="15"/>
      <c r="AP319" s="15"/>
      <c r="AS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O320" s="15"/>
      <c r="AP320" s="15"/>
      <c r="AS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O321" s="15"/>
      <c r="AP321" s="15"/>
      <c r="AS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O322" s="15"/>
      <c r="AP322" s="15"/>
      <c r="AS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O323" s="15"/>
      <c r="AP323" s="15"/>
      <c r="AS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O324" s="15"/>
      <c r="AP324" s="15"/>
      <c r="AS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O325" s="15"/>
      <c r="AP325" s="15"/>
      <c r="AS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O326" s="15"/>
      <c r="AP326" s="15"/>
      <c r="AS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O327" s="15"/>
      <c r="AP327" s="15"/>
      <c r="AS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O328" s="15"/>
      <c r="AP328" s="15"/>
      <c r="AS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O329" s="15"/>
      <c r="AP329" s="15"/>
      <c r="AS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O330" s="15"/>
      <c r="AP330" s="15"/>
      <c r="AS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O331" s="15"/>
      <c r="AP331" s="15"/>
      <c r="AS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O332" s="15"/>
      <c r="AP332" s="15"/>
      <c r="AS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O333" s="15"/>
      <c r="AP333" s="15"/>
      <c r="AS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O334" s="15"/>
      <c r="AP334" s="15"/>
      <c r="AS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O335" s="15"/>
      <c r="AP335" s="15"/>
      <c r="AS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O336" s="15"/>
      <c r="AP336" s="15"/>
      <c r="AS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O337" s="15"/>
      <c r="AP337" s="15"/>
      <c r="AS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O338" s="15"/>
      <c r="AP338" s="15"/>
      <c r="AS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O339" s="15"/>
      <c r="AP339" s="15"/>
      <c r="AS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O340" s="15"/>
      <c r="AP340" s="15"/>
      <c r="AS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O341" s="15"/>
      <c r="AP341" s="15"/>
      <c r="AS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O342" s="15"/>
      <c r="AP342" s="15"/>
      <c r="AS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O343" s="15"/>
      <c r="AP343" s="15"/>
      <c r="AS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O344" s="15"/>
      <c r="AP344" s="15"/>
      <c r="AS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O345" s="15"/>
      <c r="AP345" s="15"/>
      <c r="AS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O346" s="15"/>
      <c r="AP346" s="15"/>
      <c r="AS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O347" s="15"/>
      <c r="AP347" s="15"/>
      <c r="AS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O348" s="15"/>
      <c r="AP348" s="15"/>
      <c r="AS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O349" s="15"/>
      <c r="AP349" s="15"/>
      <c r="AS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O350" s="15"/>
      <c r="AP350" s="15"/>
      <c r="AS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O351" s="15"/>
      <c r="AP351" s="15"/>
      <c r="AS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O352" s="15"/>
      <c r="AP352" s="15"/>
      <c r="AS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O353" s="15"/>
      <c r="AP353" s="15"/>
      <c r="AS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O354" s="15"/>
      <c r="AP354" s="15"/>
      <c r="AS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O355" s="15"/>
      <c r="AP355" s="15"/>
      <c r="AS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O356" s="15"/>
      <c r="AP356" s="15"/>
      <c r="AS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O357" s="15"/>
      <c r="AP357" s="15"/>
      <c r="AS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O358" s="15"/>
      <c r="AP358" s="15"/>
      <c r="AS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O359" s="15"/>
      <c r="AP359" s="15"/>
      <c r="AS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O360" s="15"/>
      <c r="AP360" s="15"/>
      <c r="AS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O361" s="15"/>
      <c r="AP361" s="15"/>
      <c r="AS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O362" s="15"/>
      <c r="AP362" s="15"/>
      <c r="AS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O363" s="15"/>
      <c r="AP363" s="15"/>
      <c r="AS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O364" s="15"/>
      <c r="AP364" s="15"/>
      <c r="AS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O365" s="15"/>
      <c r="AP365" s="15"/>
      <c r="AS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O366" s="15"/>
      <c r="AP366" s="15"/>
      <c r="AS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O367" s="15"/>
      <c r="AP367" s="15"/>
      <c r="AS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O368" s="15"/>
      <c r="AP368" s="15"/>
      <c r="AS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O369" s="15"/>
      <c r="AP369" s="15"/>
      <c r="AS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O370" s="15"/>
      <c r="AP370" s="15"/>
      <c r="AS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O371" s="15"/>
      <c r="AP371" s="15"/>
      <c r="AS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O372" s="15"/>
      <c r="AP372" s="15"/>
      <c r="AS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O373" s="15"/>
      <c r="AP373" s="15"/>
      <c r="AS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O374" s="15"/>
      <c r="AP374" s="15"/>
      <c r="AS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O375" s="15"/>
      <c r="AP375" s="15"/>
      <c r="AS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O376" s="15"/>
      <c r="AP376" s="15"/>
      <c r="AS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O377" s="15"/>
      <c r="AP377" s="15"/>
      <c r="AS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O378" s="15"/>
      <c r="AP378" s="15"/>
      <c r="AS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O379" s="15"/>
      <c r="AP379" s="15"/>
      <c r="AS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O380" s="15"/>
      <c r="AP380" s="15"/>
      <c r="AS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O381" s="15"/>
      <c r="AP381" s="15"/>
      <c r="AS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O382" s="15"/>
      <c r="AP382" s="15"/>
      <c r="AS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O383" s="15"/>
      <c r="AP383" s="15"/>
      <c r="AS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O384" s="15"/>
      <c r="AP384" s="15"/>
      <c r="AS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O385" s="15"/>
      <c r="AP385" s="15"/>
      <c r="AS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O386" s="15"/>
      <c r="AP386" s="15"/>
      <c r="AS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O387" s="15"/>
      <c r="AP387" s="15"/>
      <c r="AS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O388" s="15"/>
      <c r="AP388" s="15"/>
      <c r="AS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O389" s="15"/>
      <c r="AP389" s="15"/>
      <c r="AS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O390" s="15"/>
      <c r="AP390" s="15"/>
      <c r="AS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O391" s="15"/>
      <c r="AP391" s="15"/>
      <c r="AS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O392" s="15"/>
      <c r="AP392" s="15"/>
      <c r="AS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O393" s="15"/>
      <c r="AP393" s="15"/>
      <c r="AS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O394" s="15"/>
      <c r="AP394" s="15"/>
      <c r="AS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O395" s="15"/>
      <c r="AP395" s="15"/>
      <c r="AS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O396" s="15"/>
      <c r="AP396" s="15"/>
      <c r="AS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O397" s="15"/>
      <c r="AP397" s="15"/>
      <c r="AS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O398" s="15"/>
      <c r="AP398" s="15"/>
      <c r="AS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O399" s="15"/>
      <c r="AP399" s="15"/>
      <c r="AS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O400" s="15"/>
      <c r="AP400" s="15"/>
      <c r="AS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O401" s="15"/>
      <c r="AP401" s="15"/>
      <c r="AS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O402" s="15"/>
      <c r="AP402" s="15"/>
      <c r="AS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O403" s="15"/>
      <c r="AP403" s="15"/>
      <c r="AS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O404" s="15"/>
      <c r="AP404" s="15"/>
      <c r="AS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O405" s="15"/>
      <c r="AP405" s="15"/>
      <c r="AS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O406" s="15"/>
      <c r="AP406" s="15"/>
      <c r="AS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O407" s="15"/>
      <c r="AP407" s="15"/>
      <c r="AS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O408" s="15"/>
      <c r="AP408" s="15"/>
      <c r="AS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O409" s="15"/>
      <c r="AP409" s="15"/>
      <c r="AS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O410" s="15"/>
      <c r="AP410" s="15"/>
      <c r="AS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O411" s="15"/>
      <c r="AP411" s="15"/>
      <c r="AS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O412" s="15"/>
      <c r="AP412" s="15"/>
      <c r="AS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O413" s="15"/>
      <c r="AP413" s="15"/>
      <c r="AS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O414" s="15"/>
      <c r="AP414" s="15"/>
      <c r="AS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O415" s="15"/>
      <c r="AP415" s="15"/>
      <c r="AS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O416" s="15"/>
      <c r="AP416" s="15"/>
      <c r="AS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O417" s="15"/>
      <c r="AP417" s="15"/>
      <c r="AS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O418" s="15"/>
      <c r="AP418" s="15"/>
      <c r="AS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O419" s="15"/>
      <c r="AP419" s="15"/>
      <c r="AS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O420" s="15"/>
      <c r="AP420" s="15"/>
      <c r="AS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O421" s="15"/>
      <c r="AP421" s="15"/>
      <c r="AS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O422" s="15"/>
      <c r="AP422" s="15"/>
      <c r="AS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O423" s="15"/>
      <c r="AP423" s="15"/>
      <c r="AS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O424" s="15"/>
      <c r="AP424" s="15"/>
      <c r="AS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O425" s="15"/>
      <c r="AP425" s="15"/>
      <c r="AS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O426" s="15"/>
      <c r="AP426" s="15"/>
      <c r="AS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O427" s="15"/>
      <c r="AP427" s="15"/>
      <c r="AS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O428" s="15"/>
      <c r="AP428" s="15"/>
      <c r="AS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O429" s="15"/>
      <c r="AP429" s="15"/>
      <c r="AS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O430" s="15"/>
      <c r="AP430" s="15"/>
      <c r="AS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O431" s="15"/>
      <c r="AP431" s="15"/>
      <c r="AS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O432" s="15"/>
      <c r="AP432" s="15"/>
      <c r="AS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O433" s="15"/>
      <c r="AP433" s="15"/>
      <c r="AS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O434" s="15"/>
      <c r="AP434" s="15"/>
      <c r="AS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O435" s="15"/>
      <c r="AP435" s="15"/>
      <c r="AS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O436" s="15"/>
      <c r="AP436" s="15"/>
      <c r="AS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O437" s="15"/>
      <c r="AP437" s="15"/>
      <c r="AS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O438" s="15"/>
      <c r="AP438" s="15"/>
      <c r="AS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O439" s="15"/>
      <c r="AP439" s="15"/>
      <c r="AS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O440" s="15"/>
      <c r="AP440" s="15"/>
      <c r="AS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O441" s="15"/>
      <c r="AP441" s="15"/>
      <c r="AS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O442" s="15"/>
      <c r="AP442" s="15"/>
      <c r="AS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O443" s="15"/>
      <c r="AP443" s="15"/>
      <c r="AS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O444" s="15"/>
      <c r="AP444" s="15"/>
      <c r="AS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O445" s="15"/>
      <c r="AP445" s="15"/>
      <c r="AS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O446" s="15"/>
      <c r="AP446" s="15"/>
      <c r="AS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O447" s="15"/>
      <c r="AP447" s="15"/>
      <c r="AS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O448" s="15"/>
      <c r="AP448" s="15"/>
      <c r="AS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O449" s="15"/>
      <c r="AP449" s="15"/>
      <c r="AS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O450" s="15"/>
      <c r="AP450" s="15"/>
      <c r="AS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O451" s="15"/>
      <c r="AP451" s="15"/>
      <c r="AS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O452" s="15"/>
      <c r="AP452" s="15"/>
      <c r="AS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O453" s="15"/>
      <c r="AP453" s="15"/>
      <c r="AS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O454" s="15"/>
      <c r="AP454" s="15"/>
      <c r="AS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O455" s="15"/>
      <c r="AP455" s="15"/>
      <c r="AS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O456" s="15"/>
      <c r="AP456" s="15"/>
      <c r="AS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O457" s="15"/>
      <c r="AP457" s="15"/>
      <c r="AS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O458" s="15"/>
      <c r="AP458" s="15"/>
      <c r="AS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O459" s="15"/>
      <c r="AP459" s="15"/>
      <c r="AS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O460" s="15"/>
      <c r="AP460" s="15"/>
      <c r="AS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O461" s="15"/>
      <c r="AP461" s="15"/>
      <c r="AS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O462" s="15"/>
      <c r="AP462" s="15"/>
      <c r="AS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O463" s="15"/>
      <c r="AP463" s="15"/>
      <c r="AS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O464" s="15"/>
      <c r="AP464" s="15"/>
      <c r="AS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O465" s="15"/>
      <c r="AP465" s="15"/>
      <c r="AS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O466" s="15"/>
      <c r="AP466" s="15"/>
      <c r="AS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O467" s="15"/>
      <c r="AP467" s="15"/>
      <c r="AS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O468" s="15"/>
      <c r="AP468" s="15"/>
      <c r="AS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O469" s="15"/>
      <c r="AP469" s="15"/>
      <c r="AS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O470" s="15"/>
      <c r="AP470" s="15"/>
      <c r="AS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O471" s="15"/>
      <c r="AP471" s="15"/>
      <c r="AS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O472" s="15"/>
      <c r="AP472" s="15"/>
      <c r="AS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O473" s="15"/>
      <c r="AP473" s="15"/>
      <c r="AS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O474" s="15"/>
      <c r="AP474" s="15"/>
      <c r="AS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O475" s="15"/>
      <c r="AP475" s="15"/>
      <c r="AS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O476" s="15"/>
      <c r="AP476" s="15"/>
      <c r="AS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O477" s="15"/>
      <c r="AP477" s="15"/>
      <c r="AS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O478" s="15"/>
      <c r="AP478" s="15"/>
      <c r="AS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O479" s="15"/>
      <c r="AP479" s="15"/>
      <c r="AS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O480" s="15"/>
      <c r="AP480" s="15"/>
      <c r="AS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O481" s="15"/>
      <c r="AP481" s="15"/>
      <c r="AS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O482" s="15"/>
      <c r="AP482" s="15"/>
      <c r="AS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O483" s="15"/>
      <c r="AP483" s="15"/>
      <c r="AS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O484" s="15"/>
      <c r="AP484" s="15"/>
      <c r="AS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O485" s="15"/>
      <c r="AP485" s="15"/>
      <c r="AS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O486" s="15"/>
      <c r="AP486" s="15"/>
      <c r="AS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O487" s="15"/>
      <c r="AP487" s="15"/>
      <c r="AS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O488" s="15"/>
      <c r="AP488" s="15"/>
      <c r="AS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O489" s="15"/>
      <c r="AP489" s="15"/>
      <c r="AS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O490" s="15"/>
      <c r="AP490" s="15"/>
      <c r="AS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O491" s="15"/>
      <c r="AP491" s="15"/>
      <c r="AS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O492" s="15"/>
      <c r="AP492" s="15"/>
      <c r="AS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O493" s="15"/>
      <c r="AP493" s="15"/>
      <c r="AS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O494" s="15"/>
      <c r="AP494" s="15"/>
      <c r="AS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O495" s="15"/>
      <c r="AP495" s="15"/>
      <c r="AS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O496" s="15"/>
      <c r="AP496" s="15"/>
      <c r="AS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O497" s="15"/>
      <c r="AP497" s="15"/>
      <c r="AS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O498" s="15"/>
      <c r="AP498" s="15"/>
      <c r="AS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O499" s="15"/>
      <c r="AP499" s="15"/>
      <c r="AS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O500" s="15"/>
      <c r="AP500" s="15"/>
      <c r="AS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O501" s="15"/>
      <c r="AP501" s="15"/>
      <c r="AS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O502" s="15"/>
      <c r="AP502" s="15"/>
      <c r="AS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O503" s="15"/>
      <c r="AP503" s="15"/>
      <c r="AS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O504" s="15"/>
      <c r="AP504" s="15"/>
      <c r="AS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O505" s="15"/>
      <c r="AP505" s="15"/>
      <c r="AS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O506" s="15"/>
      <c r="AP506" s="15"/>
      <c r="AS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O507" s="15"/>
      <c r="AP507" s="15"/>
      <c r="AS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O508" s="15"/>
      <c r="AP508" s="15"/>
      <c r="AS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O509" s="15"/>
      <c r="AP509" s="15"/>
      <c r="AS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O510" s="15"/>
      <c r="AP510" s="15"/>
      <c r="AS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O511" s="15"/>
      <c r="AP511" s="15"/>
      <c r="AS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O512" s="15"/>
      <c r="AP512" s="15"/>
      <c r="AS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O513" s="15"/>
      <c r="AP513" s="15"/>
      <c r="AS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O514" s="15"/>
      <c r="AP514" s="15"/>
      <c r="AS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O515" s="15"/>
      <c r="AP515" s="15"/>
      <c r="AS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O516" s="15"/>
      <c r="AP516" s="15"/>
      <c r="AS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O517" s="15"/>
      <c r="AP517" s="15"/>
      <c r="AS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O518" s="15"/>
      <c r="AP518" s="15"/>
      <c r="AS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O519" s="15"/>
      <c r="AP519" s="15"/>
      <c r="AS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O520" s="15"/>
      <c r="AP520" s="15"/>
      <c r="AS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O521" s="15"/>
      <c r="AP521" s="15"/>
      <c r="AS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O522" s="15"/>
      <c r="AP522" s="15"/>
      <c r="AS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O523" s="15"/>
      <c r="AP523" s="15"/>
      <c r="AS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O524" s="15"/>
      <c r="AP524" s="15"/>
      <c r="AS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O525" s="15"/>
      <c r="AP525" s="15"/>
      <c r="AS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O526" s="15"/>
      <c r="AP526" s="15"/>
      <c r="AS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O527" s="15"/>
      <c r="AP527" s="15"/>
      <c r="AS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O528" s="15"/>
      <c r="AP528" s="15"/>
      <c r="AS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O529" s="15"/>
      <c r="AP529" s="15"/>
      <c r="AS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O530" s="15"/>
      <c r="AP530" s="15"/>
      <c r="AS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O531" s="15"/>
      <c r="AP531" s="15"/>
      <c r="AS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O532" s="15"/>
      <c r="AP532" s="15"/>
      <c r="AS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O533" s="15"/>
      <c r="AP533" s="15"/>
      <c r="AS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O534" s="15"/>
      <c r="AP534" s="15"/>
      <c r="AS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O535" s="15"/>
      <c r="AP535" s="15"/>
      <c r="AS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O536" s="15"/>
      <c r="AP536" s="15"/>
      <c r="AS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O537" s="15"/>
      <c r="AP537" s="15"/>
      <c r="AS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O538" s="15"/>
      <c r="AP538" s="15"/>
      <c r="AS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O539" s="15"/>
      <c r="AP539" s="15"/>
      <c r="AS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O540" s="15"/>
      <c r="AP540" s="15"/>
      <c r="AS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O541" s="15"/>
      <c r="AP541" s="15"/>
      <c r="AS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O542" s="15"/>
      <c r="AP542" s="15"/>
      <c r="AS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O543" s="15"/>
      <c r="AP543" s="15"/>
      <c r="AS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O544" s="15"/>
      <c r="AP544" s="15"/>
      <c r="AS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O545" s="15"/>
      <c r="AP545" s="15"/>
      <c r="AS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O546" s="15"/>
      <c r="AP546" s="15"/>
      <c r="AS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O547" s="15"/>
      <c r="AP547" s="15"/>
      <c r="AS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O548" s="15"/>
      <c r="AP548" s="15"/>
      <c r="AS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O549" s="15"/>
      <c r="AP549" s="15"/>
      <c r="AS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O550" s="15"/>
      <c r="AP550" s="15"/>
      <c r="AS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O551" s="15"/>
      <c r="AP551" s="15"/>
      <c r="AS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O552" s="15"/>
      <c r="AP552" s="15"/>
      <c r="AS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O553" s="15"/>
      <c r="AP553" s="15"/>
      <c r="AS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O554" s="15"/>
      <c r="AP554" s="15"/>
      <c r="AS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O555" s="15"/>
      <c r="AP555" s="15"/>
      <c r="AS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O556" s="15"/>
      <c r="AP556" s="15"/>
      <c r="AS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O557" s="15"/>
      <c r="AP557" s="15"/>
      <c r="AS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O558" s="15"/>
      <c r="AP558" s="15"/>
      <c r="AS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O559" s="15"/>
      <c r="AP559" s="15"/>
      <c r="AS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O560" s="15"/>
      <c r="AP560" s="15"/>
      <c r="AS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O561" s="15"/>
      <c r="AP561" s="15"/>
      <c r="AS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O562" s="15"/>
      <c r="AP562" s="15"/>
      <c r="AS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O563" s="15"/>
      <c r="AP563" s="15"/>
      <c r="AS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O564" s="15"/>
      <c r="AP564" s="15"/>
      <c r="AS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O565" s="15"/>
      <c r="AP565" s="15"/>
      <c r="AS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O566" s="15"/>
      <c r="AP566" s="15"/>
      <c r="AS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O567" s="15"/>
      <c r="AP567" s="15"/>
      <c r="AS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O568" s="15"/>
      <c r="AP568" s="15"/>
      <c r="AS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O569" s="15"/>
      <c r="AP569" s="15"/>
      <c r="AS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O570" s="15"/>
      <c r="AP570" s="15"/>
      <c r="AS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O571" s="15"/>
      <c r="AP571" s="15"/>
      <c r="AS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O572" s="15"/>
      <c r="AP572" s="15"/>
      <c r="AS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O573" s="15"/>
      <c r="AP573" s="15"/>
      <c r="AS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O574" s="15"/>
      <c r="AP574" s="15"/>
      <c r="AS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O575" s="15"/>
      <c r="AP575" s="15"/>
      <c r="AS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O576" s="15"/>
      <c r="AP576" s="15"/>
      <c r="AS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O577" s="15"/>
      <c r="AP577" s="15"/>
      <c r="AS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O578" s="15"/>
      <c r="AP578" s="15"/>
      <c r="AS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O579" s="15"/>
      <c r="AP579" s="15"/>
      <c r="AS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O580" s="15"/>
      <c r="AP580" s="15"/>
      <c r="AS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O581" s="15"/>
      <c r="AP581" s="15"/>
      <c r="AS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O582" s="15"/>
      <c r="AP582" s="15"/>
      <c r="AS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O583" s="15"/>
      <c r="AP583" s="15"/>
      <c r="AS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O584" s="15"/>
      <c r="AP584" s="15"/>
      <c r="AS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O585" s="15"/>
      <c r="AP585" s="15"/>
      <c r="AS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O586" s="15"/>
      <c r="AP586" s="15"/>
      <c r="AS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O587" s="15"/>
      <c r="AP587" s="15"/>
      <c r="AS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O588" s="15"/>
      <c r="AP588" s="15"/>
      <c r="AS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O589" s="15"/>
      <c r="AP589" s="15"/>
      <c r="AS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O590" s="15"/>
      <c r="AP590" s="15"/>
      <c r="AS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O591" s="15"/>
      <c r="AP591" s="15"/>
      <c r="AS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O592" s="15"/>
      <c r="AP592" s="15"/>
      <c r="AS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O593" s="15"/>
      <c r="AP593" s="15"/>
      <c r="AS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O594" s="15"/>
      <c r="AP594" s="15"/>
      <c r="AS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O595" s="15"/>
      <c r="AP595" s="15"/>
      <c r="AS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O596" s="15"/>
      <c r="AP596" s="15"/>
      <c r="AS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O597" s="15"/>
      <c r="AP597" s="15"/>
      <c r="AS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O598" s="15"/>
      <c r="AP598" s="15"/>
      <c r="AS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O599" s="15"/>
      <c r="AP599" s="15"/>
      <c r="AS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O600" s="15"/>
      <c r="AP600" s="15"/>
      <c r="AS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O601" s="15"/>
      <c r="AP601" s="15"/>
      <c r="AS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O602" s="15"/>
      <c r="AP602" s="15"/>
      <c r="AS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O603" s="15"/>
      <c r="AP603" s="15"/>
      <c r="AS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O604" s="15"/>
      <c r="AP604" s="15"/>
      <c r="AS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O605" s="15"/>
      <c r="AP605" s="15"/>
      <c r="AS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O606" s="15"/>
      <c r="AP606" s="15"/>
      <c r="AS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O607" s="15"/>
      <c r="AP607" s="15"/>
      <c r="AS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O608" s="15"/>
      <c r="AP608" s="15"/>
      <c r="AS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O609" s="15"/>
      <c r="AP609" s="15"/>
      <c r="AS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O610" s="15"/>
      <c r="AP610" s="15"/>
      <c r="AS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O611" s="15"/>
      <c r="AP611" s="15"/>
      <c r="AS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O612" s="15"/>
      <c r="AP612" s="15"/>
      <c r="AS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O613" s="15"/>
      <c r="AP613" s="15"/>
      <c r="AS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O614" s="15"/>
      <c r="AP614" s="15"/>
      <c r="AS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O615" s="15"/>
      <c r="AP615" s="15"/>
      <c r="AS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O616" s="15"/>
      <c r="AP616" s="15"/>
      <c r="AS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O617" s="15"/>
      <c r="AP617" s="15"/>
      <c r="AS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O618" s="15"/>
      <c r="AP618" s="15"/>
      <c r="AS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O619" s="15"/>
      <c r="AP619" s="15"/>
      <c r="AS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O620" s="15"/>
      <c r="AP620" s="15"/>
      <c r="AS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O621" s="15"/>
      <c r="AP621" s="15"/>
      <c r="AS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O622" s="15"/>
      <c r="AP622" s="15"/>
      <c r="AS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O623" s="15"/>
      <c r="AP623" s="15"/>
      <c r="AS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O624" s="15"/>
      <c r="AP624" s="15"/>
      <c r="AS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O625" s="15"/>
      <c r="AP625" s="15"/>
      <c r="AS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O626" s="15"/>
      <c r="AP626" s="15"/>
      <c r="AS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O627" s="15"/>
      <c r="AP627" s="15"/>
      <c r="AS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O628" s="15"/>
      <c r="AP628" s="15"/>
      <c r="AS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O629" s="15"/>
      <c r="AP629" s="15"/>
      <c r="AS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O630" s="15"/>
      <c r="AP630" s="15"/>
      <c r="AS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O631" s="15"/>
      <c r="AP631" s="15"/>
      <c r="AS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O632" s="15"/>
      <c r="AP632" s="15"/>
      <c r="AS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O633" s="15"/>
      <c r="AP633" s="15"/>
      <c r="AS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O634" s="15"/>
      <c r="AP634" s="15"/>
      <c r="AS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O635" s="15"/>
      <c r="AP635" s="15"/>
      <c r="AS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O636" s="15"/>
      <c r="AP636" s="15"/>
      <c r="AS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O637" s="15"/>
      <c r="AP637" s="15"/>
      <c r="AS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O638" s="15"/>
      <c r="AP638" s="15"/>
      <c r="AS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O639" s="15"/>
      <c r="AP639" s="15"/>
      <c r="AS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O640" s="15"/>
      <c r="AP640" s="15"/>
      <c r="AS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O641" s="15"/>
      <c r="AP641" s="15"/>
      <c r="AS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O642" s="15"/>
      <c r="AP642" s="15"/>
      <c r="AS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O643" s="15"/>
      <c r="AP643" s="15"/>
      <c r="AS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O644" s="15"/>
      <c r="AP644" s="15"/>
      <c r="AS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O645" s="15"/>
      <c r="AP645" s="15"/>
      <c r="AS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O646" s="15"/>
      <c r="AP646" s="15"/>
      <c r="AS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O647" s="15"/>
      <c r="AP647" s="15"/>
      <c r="AS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O648" s="15"/>
      <c r="AP648" s="15"/>
      <c r="AS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O649" s="15"/>
      <c r="AP649" s="15"/>
      <c r="AS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O650" s="15"/>
      <c r="AP650" s="15"/>
      <c r="AS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O651" s="15"/>
      <c r="AP651" s="15"/>
      <c r="AS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O652" s="15"/>
      <c r="AP652" s="15"/>
      <c r="AS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O653" s="15"/>
      <c r="AP653" s="15"/>
      <c r="AS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O654" s="15"/>
      <c r="AP654" s="15"/>
      <c r="AS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O655" s="15"/>
      <c r="AP655" s="15"/>
      <c r="AS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O656" s="15"/>
      <c r="AP656" s="15"/>
      <c r="AS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O657" s="15"/>
      <c r="AP657" s="15"/>
      <c r="AS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O658" s="15"/>
      <c r="AP658" s="15"/>
      <c r="AS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O659" s="15"/>
      <c r="AP659" s="15"/>
      <c r="AS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O660" s="15"/>
      <c r="AP660" s="15"/>
      <c r="AS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O661" s="15"/>
      <c r="AP661" s="15"/>
      <c r="AS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O662" s="15"/>
      <c r="AP662" s="15"/>
      <c r="AS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O663" s="15"/>
      <c r="AP663" s="15"/>
      <c r="AS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O664" s="15"/>
      <c r="AP664" s="15"/>
      <c r="AS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O665" s="15"/>
      <c r="AP665" s="15"/>
      <c r="AS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O666" s="15"/>
      <c r="AP666" s="15"/>
      <c r="AS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O667" s="15"/>
      <c r="AP667" s="15"/>
      <c r="AS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O668" s="15"/>
      <c r="AP668" s="15"/>
      <c r="AS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O669" s="15"/>
      <c r="AP669" s="15"/>
      <c r="AS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O670" s="15"/>
      <c r="AP670" s="15"/>
      <c r="AS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O671" s="15"/>
      <c r="AP671" s="15"/>
      <c r="AS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O672" s="15"/>
      <c r="AP672" s="15"/>
      <c r="AS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O673" s="15"/>
      <c r="AP673" s="15"/>
      <c r="AS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O674" s="15"/>
      <c r="AP674" s="15"/>
      <c r="AS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O675" s="15"/>
      <c r="AP675" s="15"/>
      <c r="AS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O676" s="15"/>
      <c r="AP676" s="15"/>
      <c r="AS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O677" s="15"/>
      <c r="AP677" s="15"/>
      <c r="AS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O678" s="15"/>
      <c r="AP678" s="15"/>
      <c r="AS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O679" s="15"/>
      <c r="AP679" s="15"/>
      <c r="AS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O680" s="15"/>
      <c r="AP680" s="15"/>
      <c r="AS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O681" s="15"/>
      <c r="AP681" s="15"/>
      <c r="AS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O682" s="15"/>
      <c r="AP682" s="15"/>
      <c r="AS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O683" s="15"/>
      <c r="AP683" s="15"/>
      <c r="AS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O684" s="15"/>
      <c r="AP684" s="15"/>
      <c r="AS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O685" s="15"/>
      <c r="AP685" s="15"/>
      <c r="AS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O686" s="15"/>
      <c r="AP686" s="15"/>
      <c r="AS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O687" s="15"/>
      <c r="AP687" s="15"/>
      <c r="AS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O688" s="15"/>
      <c r="AP688" s="15"/>
      <c r="AS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O689" s="15"/>
      <c r="AP689" s="15"/>
      <c r="AS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O690" s="15"/>
      <c r="AP690" s="15"/>
      <c r="AS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O691" s="15"/>
      <c r="AP691" s="15"/>
      <c r="AS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O692" s="15"/>
      <c r="AP692" s="15"/>
      <c r="AS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O693" s="15"/>
      <c r="AP693" s="15"/>
      <c r="AS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O694" s="15"/>
      <c r="AP694" s="15"/>
      <c r="AS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O695" s="15"/>
      <c r="AP695" s="15"/>
      <c r="AS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O696" s="15"/>
      <c r="AP696" s="15"/>
      <c r="AS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O697" s="15"/>
      <c r="AP697" s="15"/>
      <c r="AS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O698" s="15"/>
      <c r="AP698" s="15"/>
      <c r="AS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O699" s="15"/>
      <c r="AP699" s="15"/>
      <c r="AS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O700" s="15"/>
      <c r="AP700" s="15"/>
      <c r="AS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O701" s="15"/>
      <c r="AP701" s="15"/>
      <c r="AS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O702" s="15"/>
      <c r="AP702" s="15"/>
      <c r="AS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O703" s="15"/>
      <c r="AP703" s="15"/>
      <c r="AS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O704" s="15"/>
      <c r="AP704" s="15"/>
      <c r="AS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O705" s="15"/>
      <c r="AP705" s="15"/>
      <c r="AS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O706" s="15"/>
      <c r="AP706" s="15"/>
      <c r="AS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O707" s="15"/>
      <c r="AP707" s="15"/>
      <c r="AS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O708" s="15"/>
      <c r="AP708" s="15"/>
      <c r="AS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O709" s="15"/>
      <c r="AP709" s="15"/>
      <c r="AS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O710" s="15"/>
      <c r="AP710" s="15"/>
      <c r="AS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O711" s="15"/>
      <c r="AP711" s="15"/>
      <c r="AS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O712" s="15"/>
      <c r="AP712" s="15"/>
      <c r="AS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O713" s="15"/>
      <c r="AP713" s="15"/>
      <c r="AS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O714" s="15"/>
      <c r="AP714" s="15"/>
      <c r="AS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O715" s="15"/>
      <c r="AP715" s="15"/>
      <c r="AS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O716" s="15"/>
      <c r="AP716" s="15"/>
      <c r="AS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O717" s="15"/>
      <c r="AP717" s="15"/>
      <c r="AS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O718" s="15"/>
      <c r="AP718" s="15"/>
      <c r="AS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O719" s="15"/>
      <c r="AP719" s="15"/>
      <c r="AS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O720" s="15"/>
      <c r="AP720" s="15"/>
      <c r="AS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O721" s="15"/>
      <c r="AP721" s="15"/>
      <c r="AS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O722" s="15"/>
      <c r="AP722" s="15"/>
      <c r="AS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O723" s="15"/>
      <c r="AP723" s="15"/>
      <c r="AS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O724" s="15"/>
      <c r="AP724" s="15"/>
      <c r="AS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O725" s="15"/>
      <c r="AP725" s="15"/>
      <c r="AS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O726" s="15"/>
      <c r="AP726" s="15"/>
      <c r="AS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O727" s="15"/>
      <c r="AP727" s="15"/>
      <c r="AS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O728" s="15"/>
      <c r="AP728" s="15"/>
      <c r="AS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O729" s="15"/>
      <c r="AP729" s="15"/>
      <c r="AS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O730" s="15"/>
      <c r="AP730" s="15"/>
      <c r="AS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O731" s="15"/>
      <c r="AP731" s="15"/>
      <c r="AS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O732" s="15"/>
      <c r="AP732" s="15"/>
      <c r="AS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O733" s="15"/>
      <c r="AP733" s="15"/>
      <c r="AS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O734" s="15"/>
      <c r="AP734" s="15"/>
      <c r="AS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O735" s="15"/>
      <c r="AP735" s="15"/>
      <c r="AS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O736" s="15"/>
      <c r="AP736" s="15"/>
      <c r="AS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O737" s="15"/>
      <c r="AP737" s="15"/>
      <c r="AS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O738" s="15"/>
      <c r="AP738" s="15"/>
      <c r="AS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O739" s="15"/>
      <c r="AP739" s="15"/>
      <c r="AS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O740" s="15"/>
      <c r="AP740" s="15"/>
      <c r="AS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O741" s="15"/>
      <c r="AP741" s="15"/>
      <c r="AS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O742" s="15"/>
      <c r="AP742" s="15"/>
      <c r="AS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O743" s="15"/>
      <c r="AP743" s="15"/>
      <c r="AS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O744" s="15"/>
      <c r="AP744" s="15"/>
      <c r="AS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O745" s="15"/>
      <c r="AP745" s="15"/>
      <c r="AS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O746" s="15"/>
      <c r="AP746" s="15"/>
      <c r="AS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O747" s="15"/>
      <c r="AP747" s="15"/>
      <c r="AS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O748" s="15"/>
      <c r="AP748" s="15"/>
      <c r="AS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O749" s="15"/>
      <c r="AP749" s="15"/>
      <c r="AS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O750" s="15"/>
      <c r="AP750" s="15"/>
      <c r="AS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O751" s="15"/>
      <c r="AP751" s="15"/>
      <c r="AS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O752" s="15"/>
      <c r="AP752" s="15"/>
      <c r="AS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O753" s="15"/>
      <c r="AP753" s="15"/>
      <c r="AS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O754" s="15"/>
      <c r="AP754" s="15"/>
      <c r="AS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O755" s="15"/>
      <c r="AP755" s="15"/>
      <c r="AS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O756" s="15"/>
      <c r="AP756" s="15"/>
      <c r="AS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O757" s="15"/>
      <c r="AP757" s="15"/>
      <c r="AS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O758" s="15"/>
      <c r="AP758" s="15"/>
      <c r="AS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O759" s="15"/>
      <c r="AP759" s="15"/>
      <c r="AS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O760" s="15"/>
      <c r="AP760" s="15"/>
      <c r="AS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O761" s="15"/>
      <c r="AP761" s="15"/>
      <c r="AS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O762" s="15"/>
      <c r="AP762" s="15"/>
      <c r="AS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O763" s="15"/>
      <c r="AP763" s="15"/>
      <c r="AS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O764" s="15"/>
      <c r="AP764" s="15"/>
      <c r="AS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O765" s="15"/>
      <c r="AP765" s="15"/>
      <c r="AS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O766" s="15"/>
      <c r="AP766" s="15"/>
      <c r="AS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O767" s="15"/>
      <c r="AP767" s="15"/>
      <c r="AS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O768" s="15"/>
      <c r="AP768" s="15"/>
      <c r="AS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O769" s="15"/>
      <c r="AP769" s="15"/>
      <c r="AS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O770" s="15"/>
      <c r="AP770" s="15"/>
      <c r="AS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O771" s="15"/>
      <c r="AP771" s="15"/>
      <c r="AS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O772" s="15"/>
      <c r="AP772" s="15"/>
      <c r="AS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O773" s="15"/>
      <c r="AP773" s="15"/>
      <c r="AS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O774" s="15"/>
      <c r="AP774" s="15"/>
      <c r="AS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O775" s="15"/>
      <c r="AP775" s="15"/>
      <c r="AS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O776" s="15"/>
      <c r="AP776" s="15"/>
      <c r="AS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O777" s="15"/>
      <c r="AP777" s="15"/>
      <c r="AS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O778" s="15"/>
      <c r="AP778" s="15"/>
      <c r="AS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O779" s="15"/>
      <c r="AP779" s="15"/>
      <c r="AS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O780" s="15"/>
      <c r="AP780" s="15"/>
      <c r="AS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O781" s="15"/>
      <c r="AP781" s="15"/>
      <c r="AS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O782" s="15"/>
      <c r="AP782" s="15"/>
      <c r="AS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O783" s="15"/>
      <c r="AP783" s="15"/>
      <c r="AS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O784" s="15"/>
      <c r="AP784" s="15"/>
      <c r="AS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O785" s="15"/>
      <c r="AP785" s="15"/>
      <c r="AS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O786" s="15"/>
      <c r="AP786" s="15"/>
      <c r="AS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O787" s="15"/>
      <c r="AP787" s="15"/>
      <c r="AS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O788" s="15"/>
      <c r="AP788" s="15"/>
      <c r="AS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O789" s="15"/>
      <c r="AP789" s="15"/>
      <c r="AS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O790" s="15"/>
      <c r="AP790" s="15"/>
      <c r="AS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O791" s="15"/>
      <c r="AP791" s="15"/>
      <c r="AS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O792" s="15"/>
      <c r="AP792" s="15"/>
      <c r="AS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O793" s="15"/>
      <c r="AP793" s="15"/>
      <c r="AS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O794" s="15"/>
      <c r="AP794" s="15"/>
      <c r="AS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O795" s="15"/>
      <c r="AP795" s="15"/>
      <c r="AS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O796" s="15"/>
      <c r="AP796" s="15"/>
      <c r="AS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O797" s="15"/>
      <c r="AP797" s="15"/>
      <c r="AS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O798" s="15"/>
      <c r="AP798" s="15"/>
      <c r="AS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O799" s="15"/>
      <c r="AP799" s="15"/>
      <c r="AS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O800" s="15"/>
      <c r="AP800" s="15"/>
      <c r="AS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O801" s="15"/>
      <c r="AP801" s="15"/>
      <c r="AS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O802" s="15"/>
      <c r="AP802" s="15"/>
      <c r="AS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O803" s="15"/>
      <c r="AP803" s="15"/>
      <c r="AS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O804" s="15"/>
      <c r="AP804" s="15"/>
      <c r="AS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O805" s="15"/>
      <c r="AP805" s="15"/>
      <c r="AS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O806" s="15"/>
      <c r="AP806" s="15"/>
      <c r="AS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O807" s="15"/>
      <c r="AP807" s="15"/>
      <c r="AS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O808" s="15"/>
      <c r="AP808" s="15"/>
      <c r="AS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O809" s="15"/>
      <c r="AP809" s="15"/>
      <c r="AS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O810" s="15"/>
      <c r="AP810" s="15"/>
      <c r="AS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O811" s="15"/>
      <c r="AP811" s="15"/>
      <c r="AS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O812" s="15"/>
      <c r="AP812" s="15"/>
      <c r="AS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O813" s="15"/>
      <c r="AP813" s="15"/>
      <c r="AS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O814" s="15"/>
      <c r="AP814" s="15"/>
      <c r="AS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O815" s="15"/>
      <c r="AP815" s="15"/>
      <c r="AS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O816" s="15"/>
      <c r="AP816" s="15"/>
      <c r="AS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O817" s="15"/>
      <c r="AP817" s="15"/>
      <c r="AS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O818" s="15"/>
      <c r="AP818" s="15"/>
      <c r="AS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O819" s="15"/>
      <c r="AP819" s="15"/>
      <c r="AS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O820" s="15"/>
      <c r="AP820" s="15"/>
      <c r="AS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O821" s="15"/>
      <c r="AP821" s="15"/>
      <c r="AS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O822" s="15"/>
      <c r="AP822" s="15"/>
      <c r="AS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O823" s="15"/>
      <c r="AP823" s="15"/>
      <c r="AS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O824" s="15"/>
      <c r="AP824" s="15"/>
      <c r="AS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O825" s="15"/>
      <c r="AP825" s="15"/>
      <c r="AS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O826" s="15"/>
      <c r="AP826" s="15"/>
      <c r="AS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O827" s="15"/>
      <c r="AP827" s="15"/>
      <c r="AS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O828" s="15"/>
      <c r="AP828" s="15"/>
      <c r="AS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O829" s="15"/>
      <c r="AP829" s="15"/>
      <c r="AS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O830" s="15"/>
      <c r="AP830" s="15"/>
      <c r="AS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O831" s="15"/>
      <c r="AP831" s="15"/>
      <c r="AS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O832" s="15"/>
      <c r="AP832" s="15"/>
      <c r="AS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O833" s="15"/>
      <c r="AP833" s="15"/>
      <c r="AS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O834" s="15"/>
      <c r="AP834" s="15"/>
      <c r="AS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O835" s="15"/>
      <c r="AP835" s="15"/>
      <c r="AS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O836" s="15"/>
      <c r="AP836" s="15"/>
      <c r="AS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O837" s="15"/>
      <c r="AP837" s="15"/>
      <c r="AS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O838" s="15"/>
      <c r="AP838" s="15"/>
      <c r="AS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O839" s="15"/>
      <c r="AP839" s="15"/>
      <c r="AS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O840" s="15"/>
      <c r="AP840" s="15"/>
      <c r="AS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O841" s="15"/>
      <c r="AP841" s="15"/>
      <c r="AS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O842" s="15"/>
      <c r="AP842" s="15"/>
      <c r="AS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O843" s="15"/>
      <c r="AP843" s="15"/>
      <c r="AS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O844" s="15"/>
      <c r="AP844" s="15"/>
      <c r="AS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O845" s="15"/>
      <c r="AP845" s="15"/>
      <c r="AS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O846" s="15"/>
      <c r="AP846" s="15"/>
      <c r="AS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O847" s="15"/>
      <c r="AP847" s="15"/>
      <c r="AS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O848" s="15"/>
      <c r="AP848" s="15"/>
      <c r="AS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O849" s="15"/>
      <c r="AP849" s="15"/>
      <c r="AS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O850" s="15"/>
      <c r="AP850" s="15"/>
      <c r="AS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O851" s="15"/>
      <c r="AP851" s="15"/>
      <c r="AS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O852" s="15"/>
      <c r="AP852" s="15"/>
      <c r="AS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O853" s="15"/>
      <c r="AP853" s="15"/>
      <c r="AS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O854" s="15"/>
      <c r="AP854" s="15"/>
      <c r="AS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O855" s="15"/>
      <c r="AP855" s="15"/>
      <c r="AS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O856" s="15"/>
      <c r="AP856" s="15"/>
      <c r="AS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O857" s="15"/>
      <c r="AP857" s="15"/>
      <c r="AS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O858" s="15"/>
      <c r="AP858" s="15"/>
      <c r="AS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O859" s="15"/>
      <c r="AP859" s="15"/>
      <c r="AS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O860" s="15"/>
      <c r="AP860" s="15"/>
      <c r="AS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O861" s="15"/>
      <c r="AP861" s="15"/>
      <c r="AS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O862" s="15"/>
      <c r="AP862" s="15"/>
      <c r="AS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O863" s="15"/>
      <c r="AP863" s="15"/>
      <c r="AS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O864" s="15"/>
      <c r="AP864" s="15"/>
      <c r="AS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O865" s="15"/>
      <c r="AP865" s="15"/>
      <c r="AS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O866" s="15"/>
      <c r="AP866" s="15"/>
      <c r="AS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O867" s="15"/>
      <c r="AP867" s="15"/>
      <c r="AS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O868" s="15"/>
      <c r="AP868" s="15"/>
      <c r="AS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O869" s="15"/>
      <c r="AP869" s="15"/>
      <c r="AS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O870" s="15"/>
      <c r="AP870" s="15"/>
      <c r="AS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O871" s="15"/>
      <c r="AP871" s="15"/>
      <c r="AS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O872" s="15"/>
      <c r="AP872" s="15"/>
      <c r="AS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O873" s="15"/>
      <c r="AP873" s="15"/>
      <c r="AS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O874" s="15"/>
      <c r="AP874" s="15"/>
      <c r="AS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O875" s="15"/>
      <c r="AP875" s="15"/>
      <c r="AS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O876" s="15"/>
      <c r="AP876" s="15"/>
      <c r="AS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O877" s="15"/>
      <c r="AP877" s="15"/>
      <c r="AS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O878" s="15"/>
      <c r="AP878" s="15"/>
      <c r="AS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O879" s="15"/>
      <c r="AP879" s="15"/>
      <c r="AS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O880" s="15"/>
      <c r="AP880" s="15"/>
      <c r="AS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O881" s="15"/>
      <c r="AP881" s="15"/>
      <c r="AS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O882" s="15"/>
      <c r="AP882" s="15"/>
      <c r="AS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O883" s="15"/>
      <c r="AP883" s="15"/>
      <c r="AS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O884" s="15"/>
      <c r="AP884" s="15"/>
      <c r="AS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O885" s="15"/>
      <c r="AP885" s="15"/>
      <c r="AS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O886" s="15"/>
      <c r="AP886" s="15"/>
      <c r="AS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O887" s="15"/>
      <c r="AP887" s="15"/>
      <c r="AS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O888" s="15"/>
      <c r="AP888" s="15"/>
      <c r="AS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O889" s="15"/>
      <c r="AP889" s="15"/>
      <c r="AS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O890" s="15"/>
      <c r="AP890" s="15"/>
      <c r="AS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O891" s="15"/>
      <c r="AP891" s="15"/>
      <c r="AS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O892" s="15"/>
      <c r="AP892" s="15"/>
      <c r="AS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O893" s="15"/>
      <c r="AP893" s="15"/>
      <c r="AS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O894" s="15"/>
      <c r="AP894" s="15"/>
      <c r="AS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O895" s="15"/>
      <c r="AP895" s="15"/>
      <c r="AS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O896" s="15"/>
      <c r="AP896" s="15"/>
      <c r="AS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O897" s="15"/>
      <c r="AP897" s="15"/>
      <c r="AS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O898" s="15"/>
      <c r="AP898" s="15"/>
      <c r="AS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O899" s="15"/>
      <c r="AP899" s="15"/>
      <c r="AS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O900" s="15"/>
      <c r="AP900" s="15"/>
      <c r="AS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O901" s="15"/>
      <c r="AP901" s="15"/>
      <c r="AS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O902" s="15"/>
      <c r="AP902" s="15"/>
      <c r="AS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O903" s="15"/>
      <c r="AP903" s="15"/>
      <c r="AS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O904" s="15"/>
      <c r="AP904" s="15"/>
      <c r="AS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O905" s="15"/>
      <c r="AP905" s="15"/>
      <c r="AS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O906" s="15"/>
      <c r="AP906" s="15"/>
      <c r="AS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O907" s="15"/>
      <c r="AP907" s="15"/>
      <c r="AS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O908" s="15"/>
      <c r="AP908" s="15"/>
      <c r="AS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O909" s="15"/>
      <c r="AP909" s="15"/>
      <c r="AS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O910" s="15"/>
      <c r="AP910" s="15"/>
      <c r="AS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O911" s="15"/>
      <c r="AP911" s="15"/>
      <c r="AS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O912" s="15"/>
      <c r="AP912" s="15"/>
      <c r="AS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O913" s="15"/>
      <c r="AP913" s="15"/>
      <c r="AS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O914" s="15"/>
      <c r="AP914" s="15"/>
      <c r="AS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O915" s="15"/>
      <c r="AP915" s="15"/>
      <c r="AS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O916" s="15"/>
      <c r="AP916" s="15"/>
      <c r="AS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O917" s="15"/>
      <c r="AP917" s="15"/>
      <c r="AS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O918" s="15"/>
      <c r="AP918" s="15"/>
      <c r="AS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O919" s="15"/>
      <c r="AP919" s="15"/>
      <c r="AS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O920" s="15"/>
      <c r="AP920" s="15"/>
      <c r="AS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O921" s="15"/>
      <c r="AP921" s="15"/>
      <c r="AS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O922" s="15"/>
      <c r="AP922" s="15"/>
      <c r="AS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O923" s="15"/>
      <c r="AP923" s="15"/>
      <c r="AS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O924" s="15"/>
      <c r="AP924" s="15"/>
      <c r="AS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O925" s="15"/>
      <c r="AP925" s="15"/>
      <c r="AS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O926" s="15"/>
      <c r="AP926" s="15"/>
      <c r="AS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O927" s="15"/>
      <c r="AP927" s="15"/>
      <c r="AS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O928" s="15"/>
      <c r="AP928" s="15"/>
      <c r="AS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O929" s="15"/>
      <c r="AP929" s="15"/>
      <c r="AS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O930" s="15"/>
      <c r="AP930" s="15"/>
      <c r="AS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O931" s="15"/>
      <c r="AP931" s="15"/>
      <c r="AS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O932" s="15"/>
      <c r="AP932" s="15"/>
      <c r="AS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O933" s="15"/>
      <c r="AP933" s="15"/>
      <c r="AS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O934" s="15"/>
      <c r="AP934" s="15"/>
      <c r="AS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O935" s="15"/>
      <c r="AP935" s="15"/>
      <c r="AS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O936" s="15"/>
      <c r="AP936" s="15"/>
      <c r="AS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O937" s="15"/>
      <c r="AP937" s="15"/>
      <c r="AS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O938" s="15"/>
      <c r="AP938" s="15"/>
      <c r="AS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O939" s="15"/>
      <c r="AP939" s="15"/>
      <c r="AS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O940" s="15"/>
      <c r="AP940" s="15"/>
      <c r="AS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O941" s="15"/>
      <c r="AP941" s="15"/>
      <c r="AS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O942" s="15"/>
      <c r="AP942" s="15"/>
      <c r="AS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O943" s="15"/>
      <c r="AP943" s="15"/>
      <c r="AS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O944" s="15"/>
      <c r="AP944" s="15"/>
      <c r="AS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O945" s="15"/>
      <c r="AP945" s="15"/>
      <c r="AS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O946" s="15"/>
      <c r="AP946" s="15"/>
      <c r="AS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O947" s="15"/>
      <c r="AP947" s="15"/>
      <c r="AS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O948" s="15"/>
      <c r="AP948" s="15"/>
      <c r="AS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O949" s="15"/>
      <c r="AP949" s="15"/>
      <c r="AS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O950" s="15"/>
      <c r="AP950" s="15"/>
      <c r="AS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O951" s="15"/>
      <c r="AP951" s="15"/>
      <c r="AS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O952" s="15"/>
      <c r="AP952" s="15"/>
      <c r="AS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O953" s="15"/>
      <c r="AP953" s="15"/>
      <c r="AS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O954" s="15"/>
      <c r="AP954" s="15"/>
      <c r="AS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O955" s="15"/>
      <c r="AP955" s="15"/>
      <c r="AS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O956" s="15"/>
      <c r="AP956" s="15"/>
      <c r="AS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O957" s="15"/>
      <c r="AP957" s="15"/>
      <c r="AS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O958" s="15"/>
      <c r="AP958" s="15"/>
      <c r="AS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O959" s="15"/>
      <c r="AP959" s="15"/>
      <c r="AS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O960" s="15"/>
      <c r="AP960" s="15"/>
      <c r="AS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O961" s="15"/>
      <c r="AP961" s="15"/>
      <c r="AS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O962" s="15"/>
      <c r="AP962" s="15"/>
      <c r="AS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O963" s="15"/>
      <c r="AP963" s="15"/>
      <c r="AS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O964" s="15"/>
      <c r="AP964" s="15"/>
      <c r="AS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O965" s="15"/>
      <c r="AP965" s="15"/>
      <c r="AS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O966" s="15"/>
      <c r="AP966" s="15"/>
      <c r="AS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O967" s="15"/>
      <c r="AP967" s="15"/>
      <c r="AS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O968" s="15"/>
      <c r="AP968" s="15"/>
      <c r="AS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O969" s="15"/>
      <c r="AP969" s="15"/>
      <c r="AS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O970" s="15"/>
      <c r="AP970" s="15"/>
      <c r="AS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O971" s="15"/>
      <c r="AP971" s="15"/>
      <c r="AS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O972" s="15"/>
      <c r="AP972" s="15"/>
      <c r="AS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O973" s="15"/>
      <c r="AP973" s="15"/>
      <c r="AS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O974" s="15"/>
      <c r="AP974" s="15"/>
      <c r="AS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O975" s="15"/>
      <c r="AP975" s="15"/>
      <c r="AS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O976" s="15"/>
      <c r="AP976" s="15"/>
      <c r="AS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O977" s="15"/>
      <c r="AP977" s="15"/>
      <c r="AS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O978" s="15"/>
      <c r="AP978" s="15"/>
      <c r="AS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O979" s="15"/>
      <c r="AP979" s="15"/>
      <c r="AS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O980" s="15"/>
      <c r="AP980" s="15"/>
      <c r="AS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O981" s="15"/>
      <c r="AP981" s="15"/>
      <c r="AS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O982" s="15"/>
      <c r="AP982" s="15"/>
      <c r="AS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O983" s="15"/>
      <c r="AP983" s="15"/>
      <c r="AS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O984" s="15"/>
      <c r="AP984" s="15"/>
      <c r="AS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O985" s="15"/>
      <c r="AP985" s="15"/>
      <c r="AS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O986" s="15"/>
      <c r="AP986" s="15"/>
      <c r="AS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O987" s="15"/>
      <c r="AP987" s="15"/>
      <c r="AS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O988" s="15"/>
      <c r="AP988" s="15"/>
      <c r="AS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O989" s="15"/>
      <c r="AP989" s="15"/>
      <c r="AS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O990" s="15"/>
      <c r="AP990" s="15"/>
      <c r="AS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O991" s="15"/>
      <c r="AP991" s="15"/>
      <c r="AS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O992" s="15"/>
      <c r="AP992" s="15"/>
      <c r="AS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O993" s="15"/>
      <c r="AP993" s="15"/>
      <c r="AS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O994" s="15"/>
      <c r="AP994" s="15"/>
      <c r="AS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O995" s="15"/>
      <c r="AP995" s="15"/>
      <c r="AS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O996" s="15"/>
      <c r="AP996" s="15"/>
      <c r="AS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O997" s="15"/>
      <c r="AP997" s="15"/>
      <c r="AS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O998" s="15"/>
      <c r="AP998" s="15"/>
      <c r="AS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O999" s="15"/>
      <c r="AP999" s="15"/>
      <c r="AS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O1000" s="15"/>
      <c r="AP1000" s="15"/>
      <c r="AS1000" s="15"/>
    </row>
  </sheetData>
  <mergeCells count="78"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T16:AT17"/>
    <mergeCell ref="AT19:AT20"/>
    <mergeCell ref="AT22:AT23"/>
    <mergeCell ref="AT25:AT26"/>
    <mergeCell ref="AT28:AT29"/>
    <mergeCell ref="AT31:AT32"/>
    <mergeCell ref="AN4:AN5"/>
    <mergeCell ref="AQ4:AQ5"/>
    <mergeCell ref="AT4:AT5"/>
    <mergeCell ref="AN7:AN8"/>
    <mergeCell ref="AQ7:AQ8"/>
    <mergeCell ref="AN10:AN11"/>
    <mergeCell ref="AT13:AT14"/>
    <mergeCell ref="AN35:AO35"/>
    <mergeCell ref="AN36:AO36"/>
    <mergeCell ref="AN37:AO37"/>
    <mergeCell ref="AN38:AO38"/>
    <mergeCell ref="AN39:AO39"/>
    <mergeCell ref="AN40:AO40"/>
    <mergeCell ref="AN13:AN14"/>
    <mergeCell ref="AN16:AN17"/>
    <mergeCell ref="AN19:AN20"/>
    <mergeCell ref="AN22:AN23"/>
    <mergeCell ref="AN25:AN26"/>
    <mergeCell ref="AN28:AN29"/>
    <mergeCell ref="AN31:AN3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T7:AT8"/>
    <mergeCell ref="AT10:AT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43"/>
    <col customWidth="1" min="2" max="2" width="10.14"/>
    <col customWidth="1" min="3" max="38" width="3.57"/>
    <col customWidth="1" min="39" max="39" width="7.57"/>
    <col customWidth="1" min="40" max="40" width="3.57"/>
    <col customWidth="1" min="41" max="42" width="9.43"/>
    <col customWidth="1" min="43" max="56" width="3.57"/>
  </cols>
  <sheetData>
    <row r="1" ht="21.75" customHeight="1">
      <c r="A1" s="1">
        <v>2025.0</v>
      </c>
      <c r="B1" s="2"/>
      <c r="C1" s="1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2"/>
      <c r="AP1" s="8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2" ht="22.5" customHeight="1">
      <c r="A2" s="10"/>
      <c r="B2" s="11"/>
      <c r="C2" s="1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1"/>
      <c r="AP2" s="8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ht="11.25" customHeight="1">
      <c r="A3" s="13" t="s">
        <v>24</v>
      </c>
      <c r="B3" s="3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5" t="s">
        <v>7</v>
      </c>
      <c r="H3" s="6" t="s">
        <v>9</v>
      </c>
      <c r="I3" s="5" t="s">
        <v>10</v>
      </c>
      <c r="J3" s="6" t="s">
        <v>11</v>
      </c>
      <c r="K3" s="5" t="s">
        <v>12</v>
      </c>
      <c r="L3" s="6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6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14" t="s">
        <v>40</v>
      </c>
      <c r="AM3" s="28" t="s">
        <v>47</v>
      </c>
      <c r="AN3" s="29" t="s">
        <v>48</v>
      </c>
      <c r="AO3" s="30" t="s">
        <v>49</v>
      </c>
      <c r="AP3" s="31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ht="12.75" customHeight="1">
      <c r="A4" s="39"/>
      <c r="B4" s="16"/>
      <c r="C4" s="17"/>
      <c r="D4" s="18"/>
      <c r="E4" s="17"/>
      <c r="F4" s="18"/>
      <c r="G4" s="17"/>
      <c r="H4" s="18"/>
      <c r="I4" s="17"/>
      <c r="J4" s="18"/>
      <c r="K4" s="17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9"/>
      <c r="AM4" s="39"/>
      <c r="AN4" s="16"/>
      <c r="AO4" s="44"/>
      <c r="AP4" s="31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ht="10.5" customHeight="1">
      <c r="A5" s="47"/>
      <c r="B5" s="48"/>
      <c r="C5" s="49"/>
      <c r="D5" s="50"/>
      <c r="E5" s="49"/>
      <c r="F5" s="50"/>
      <c r="G5" s="49"/>
      <c r="H5" s="50"/>
      <c r="I5" s="49"/>
      <c r="J5" s="50"/>
      <c r="K5" s="49"/>
      <c r="L5" s="50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  <c r="AD5" s="49"/>
      <c r="AE5" s="49"/>
      <c r="AF5" s="49"/>
      <c r="AG5" s="49"/>
      <c r="AH5" s="49"/>
      <c r="AI5" s="49"/>
      <c r="AJ5" s="49"/>
      <c r="AK5" s="49"/>
      <c r="AL5" s="51"/>
      <c r="AM5" s="47"/>
      <c r="AN5" s="48"/>
      <c r="AO5" s="52"/>
      <c r="AP5" s="31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ht="10.5" customHeight="1">
      <c r="A6" s="54" t="str">
        <f>Drivers!AN4</f>
        <v>Dehaven  </v>
      </c>
      <c r="B6" s="55" t="str">
        <f>Drivers!AO4</f>
        <v>Elliott</v>
      </c>
      <c r="C6" s="57">
        <f>Drivers!C12</f>
        <v>33</v>
      </c>
      <c r="D6" s="57">
        <f>Drivers!D12</f>
        <v>38</v>
      </c>
      <c r="E6" s="57">
        <f>Drivers!E12</f>
        <v>33</v>
      </c>
      <c r="F6" s="57">
        <f>Drivers!F12</f>
        <v>14</v>
      </c>
      <c r="G6" s="57">
        <f>Drivers!G12</f>
        <v>40</v>
      </c>
      <c r="H6" s="57">
        <f>Drivers!H12</f>
        <v>26</v>
      </c>
      <c r="I6" s="57">
        <f>Drivers!I12</f>
        <v>55</v>
      </c>
      <c r="J6" s="57">
        <f>Drivers!J12</f>
        <v>15</v>
      </c>
      <c r="K6" s="57">
        <f>Drivers!K12</f>
        <v>41</v>
      </c>
      <c r="L6" s="57">
        <f>Drivers!L12</f>
        <v>35</v>
      </c>
      <c r="M6" s="57">
        <f>Drivers!M12</f>
        <v>69</v>
      </c>
      <c r="N6" s="57">
        <f>Drivers!N12</f>
        <v>13</v>
      </c>
      <c r="O6" s="57">
        <f>Drivers!O12</f>
        <v>1</v>
      </c>
      <c r="P6" s="57">
        <f>Drivers!P12</f>
        <v>37</v>
      </c>
      <c r="Q6" s="57">
        <f>Drivers!Q12</f>
        <v>22</v>
      </c>
      <c r="R6" s="57">
        <f>Drivers!R12</f>
        <v>27</v>
      </c>
      <c r="S6" s="57">
        <f>Drivers!S12</f>
        <v>25</v>
      </c>
      <c r="T6" s="57">
        <f>Drivers!T12</f>
        <v>20</v>
      </c>
      <c r="U6" s="57">
        <f>Drivers!U12</f>
        <v>30</v>
      </c>
      <c r="V6" s="57">
        <f>Drivers!V12</f>
        <v>26</v>
      </c>
      <c r="W6" s="57">
        <f>Drivers!W12</f>
        <v>24</v>
      </c>
      <c r="X6" s="57">
        <f>Drivers!X12</f>
        <v>1</v>
      </c>
      <c r="Y6" s="57">
        <f>Drivers!Y12</f>
        <v>22</v>
      </c>
      <c r="Z6" s="57">
        <f>Drivers!Z12</f>
        <v>38</v>
      </c>
      <c r="AA6" s="57">
        <f>Drivers!AA12</f>
        <v>12</v>
      </c>
      <c r="AB6" s="57">
        <f>Drivers!AB12</f>
        <v>16</v>
      </c>
      <c r="AC6" s="57" t="str">
        <f>Drivers!AC12</f>
        <v/>
      </c>
      <c r="AD6" s="57" t="str">
        <f>Drivers!AD12</f>
        <v/>
      </c>
      <c r="AE6" s="57" t="str">
        <f>Drivers!AE12</f>
        <v/>
      </c>
      <c r="AF6" s="57" t="str">
        <f>Drivers!AF12</f>
        <v/>
      </c>
      <c r="AG6" s="57" t="str">
        <f>Drivers!AG12</f>
        <v/>
      </c>
      <c r="AH6" s="57" t="str">
        <f>Drivers!AH12</f>
        <v/>
      </c>
      <c r="AI6" s="57" t="str">
        <f>Drivers!AI12</f>
        <v/>
      </c>
      <c r="AJ6" s="57" t="str">
        <f>Drivers!AJ12</f>
        <v/>
      </c>
      <c r="AK6" s="57" t="str">
        <f>Drivers!AK12</f>
        <v/>
      </c>
      <c r="AL6" s="57" t="str">
        <f>Drivers!AL12</f>
        <v/>
      </c>
      <c r="AM6" s="61">
        <f>SUM(C8:AL8)</f>
        <v>1607</v>
      </c>
      <c r="AN6" s="62">
        <f>RANK($AM$6:$AM$35,$AM$6:$AM$35,1&gt;10)</f>
        <v>2</v>
      </c>
      <c r="AO6" s="63">
        <f>AVERAGE(C8:AL8)</f>
        <v>44.63888889</v>
      </c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ht="12.75" customHeight="1">
      <c r="A7" s="64"/>
      <c r="B7" s="55" t="str">
        <f>Drivers!AO5</f>
        <v>Reddick</v>
      </c>
      <c r="C7" s="65">
        <f>Drivers!C34</f>
        <v>58</v>
      </c>
      <c r="D7" s="65">
        <f>Drivers!D34</f>
        <v>67</v>
      </c>
      <c r="E7" s="65">
        <f>Drivers!E34</f>
        <v>61</v>
      </c>
      <c r="F7" s="65">
        <f>Drivers!F34</f>
        <v>39</v>
      </c>
      <c r="G7" s="65">
        <f>Drivers!G34</f>
        <v>30</v>
      </c>
      <c r="H7" s="65">
        <f>Drivers!H34</f>
        <v>70</v>
      </c>
      <c r="I7" s="65">
        <f>Drivers!I34</f>
        <v>28</v>
      </c>
      <c r="J7" s="65">
        <f>Drivers!J34</f>
        <v>33</v>
      </c>
      <c r="K7" s="65">
        <f>Drivers!K34</f>
        <v>71</v>
      </c>
      <c r="L7" s="65">
        <f>Drivers!L34</f>
        <v>27</v>
      </c>
      <c r="M7" s="65">
        <f>Drivers!M34</f>
        <v>42</v>
      </c>
      <c r="N7" s="65">
        <f>Drivers!N34</f>
        <v>41</v>
      </c>
      <c r="O7" s="65">
        <f>Drivers!O34</f>
        <v>53</v>
      </c>
      <c r="P7" s="65">
        <f>Drivers!P34</f>
        <v>37</v>
      </c>
      <c r="Q7" s="65">
        <f>Drivers!Q34</f>
        <v>12</v>
      </c>
      <c r="R7" s="65">
        <f>Drivers!R34</f>
        <v>35</v>
      </c>
      <c r="S7" s="65">
        <f>Drivers!S34</f>
        <v>12</v>
      </c>
      <c r="T7" s="65">
        <f>Drivers!T34</f>
        <v>2</v>
      </c>
      <c r="U7" s="65">
        <f>Drivers!U34</f>
        <v>2</v>
      </c>
      <c r="V7" s="65">
        <f>Drivers!V34</f>
        <v>47</v>
      </c>
      <c r="W7" s="65">
        <f>Drivers!W34</f>
        <v>7</v>
      </c>
      <c r="X7" s="65">
        <f>Drivers!X34</f>
        <v>28</v>
      </c>
      <c r="Y7" s="65">
        <f>Drivers!Y34</f>
        <v>1</v>
      </c>
      <c r="Z7" s="65">
        <f>Drivers!Z34</f>
        <v>28</v>
      </c>
      <c r="AA7" s="65">
        <f>Drivers!AA34</f>
        <v>29</v>
      </c>
      <c r="AB7" s="65">
        <f>Drivers!AB34</f>
        <v>34</v>
      </c>
      <c r="AC7" s="65" t="str">
        <f>Drivers!AC34</f>
        <v/>
      </c>
      <c r="AD7" s="65" t="str">
        <f>Drivers!AD34</f>
        <v/>
      </c>
      <c r="AE7" s="65" t="str">
        <f>Drivers!AE34</f>
        <v/>
      </c>
      <c r="AF7" s="65" t="str">
        <f>Drivers!AF34</f>
        <v/>
      </c>
      <c r="AG7" s="65" t="str">
        <f>Drivers!AG34</f>
        <v/>
      </c>
      <c r="AH7" s="65" t="str">
        <f>Drivers!AH34</f>
        <v/>
      </c>
      <c r="AI7" s="65" t="str">
        <f>Drivers!AI34</f>
        <v/>
      </c>
      <c r="AJ7" s="65" t="str">
        <f>Drivers!AJ34</f>
        <v/>
      </c>
      <c r="AK7" s="65" t="str">
        <f>Drivers!AK34</f>
        <v/>
      </c>
      <c r="AL7" s="65" t="str">
        <f>Drivers!AL34</f>
        <v/>
      </c>
      <c r="AM7" s="16"/>
      <c r="AN7" s="16"/>
      <c r="AO7" s="16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</row>
    <row r="8" ht="13.5" customHeight="1">
      <c r="A8" s="68"/>
      <c r="B8" s="55"/>
      <c r="C8" s="69">
        <f t="shared" ref="C8:AL8" si="1">SUM(C6+C7)</f>
        <v>91</v>
      </c>
      <c r="D8" s="69">
        <f t="shared" si="1"/>
        <v>105</v>
      </c>
      <c r="E8" s="69">
        <f t="shared" si="1"/>
        <v>94</v>
      </c>
      <c r="F8" s="69">
        <f t="shared" si="1"/>
        <v>53</v>
      </c>
      <c r="G8" s="69">
        <f t="shared" si="1"/>
        <v>70</v>
      </c>
      <c r="H8" s="69">
        <f t="shared" si="1"/>
        <v>96</v>
      </c>
      <c r="I8" s="69">
        <f t="shared" si="1"/>
        <v>83</v>
      </c>
      <c r="J8" s="69">
        <f t="shared" si="1"/>
        <v>48</v>
      </c>
      <c r="K8" s="69">
        <f t="shared" si="1"/>
        <v>112</v>
      </c>
      <c r="L8" s="71">
        <f t="shared" si="1"/>
        <v>62</v>
      </c>
      <c r="M8" s="69">
        <f t="shared" si="1"/>
        <v>111</v>
      </c>
      <c r="N8" s="69">
        <f t="shared" si="1"/>
        <v>54</v>
      </c>
      <c r="O8" s="69">
        <f t="shared" si="1"/>
        <v>54</v>
      </c>
      <c r="P8" s="69">
        <f t="shared" si="1"/>
        <v>74</v>
      </c>
      <c r="Q8" s="69">
        <f t="shared" si="1"/>
        <v>34</v>
      </c>
      <c r="R8" s="69">
        <f t="shared" si="1"/>
        <v>62</v>
      </c>
      <c r="S8" s="69">
        <f t="shared" si="1"/>
        <v>37</v>
      </c>
      <c r="T8" s="69">
        <f t="shared" si="1"/>
        <v>22</v>
      </c>
      <c r="U8" s="69">
        <f t="shared" si="1"/>
        <v>32</v>
      </c>
      <c r="V8" s="69">
        <f t="shared" si="1"/>
        <v>73</v>
      </c>
      <c r="W8" s="69">
        <f t="shared" si="1"/>
        <v>31</v>
      </c>
      <c r="X8" s="69">
        <f t="shared" si="1"/>
        <v>29</v>
      </c>
      <c r="Y8" s="69">
        <f t="shared" si="1"/>
        <v>23</v>
      </c>
      <c r="Z8" s="69">
        <f t="shared" si="1"/>
        <v>66</v>
      </c>
      <c r="AA8" s="69">
        <f t="shared" si="1"/>
        <v>41</v>
      </c>
      <c r="AB8" s="69">
        <f t="shared" si="1"/>
        <v>50</v>
      </c>
      <c r="AC8" s="71">
        <f t="shared" si="1"/>
        <v>0</v>
      </c>
      <c r="AD8" s="69">
        <f t="shared" si="1"/>
        <v>0</v>
      </c>
      <c r="AE8" s="69">
        <f t="shared" si="1"/>
        <v>0</v>
      </c>
      <c r="AF8" s="69">
        <f t="shared" si="1"/>
        <v>0</v>
      </c>
      <c r="AG8" s="69">
        <f t="shared" si="1"/>
        <v>0</v>
      </c>
      <c r="AH8" s="69">
        <f t="shared" si="1"/>
        <v>0</v>
      </c>
      <c r="AI8" s="69">
        <f t="shared" si="1"/>
        <v>0</v>
      </c>
      <c r="AJ8" s="69">
        <f t="shared" si="1"/>
        <v>0</v>
      </c>
      <c r="AK8" s="69">
        <f t="shared" si="1"/>
        <v>0</v>
      </c>
      <c r="AL8" s="74">
        <f t="shared" si="1"/>
        <v>0</v>
      </c>
      <c r="AM8" s="21"/>
      <c r="AN8" s="21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</row>
    <row r="9" ht="12.75" customHeight="1">
      <c r="A9" s="78" t="str">
        <f>Drivers!AN7</f>
        <v>Gehman (1)</v>
      </c>
      <c r="B9" s="79" t="str">
        <f>Drivers!AO7</f>
        <v>Byron</v>
      </c>
      <c r="C9" s="80">
        <f>Drivers!C24</f>
        <v>25</v>
      </c>
      <c r="D9" s="80">
        <f>Drivers!D24</f>
        <v>25</v>
      </c>
      <c r="E9" s="80">
        <f>Drivers!E24</f>
        <v>26</v>
      </c>
      <c r="F9" s="80">
        <f>Drivers!F24</f>
        <v>32</v>
      </c>
      <c r="G9" s="80">
        <f>Drivers!G24</f>
        <v>49</v>
      </c>
      <c r="H9" s="80">
        <f>Drivers!H24</f>
        <v>34</v>
      </c>
      <c r="I9" s="80">
        <f>Drivers!I24</f>
        <v>47</v>
      </c>
      <c r="J9" s="80">
        <f>Drivers!J24</f>
        <v>7</v>
      </c>
      <c r="K9" s="80">
        <f>Drivers!K24</f>
        <v>30</v>
      </c>
      <c r="L9" s="80">
        <f>Drivers!L24</f>
        <v>2</v>
      </c>
      <c r="M9" s="80">
        <f>Drivers!M24</f>
        <v>31</v>
      </c>
      <c r="N9" s="80">
        <f>Drivers!N24</f>
        <v>1</v>
      </c>
      <c r="O9" s="80">
        <f>Drivers!O24</f>
        <v>28</v>
      </c>
      <c r="P9" s="80">
        <f>Drivers!P24</f>
        <v>15</v>
      </c>
      <c r="Q9" s="80">
        <f>Drivers!Q24</f>
        <v>25</v>
      </c>
      <c r="R9" s="80">
        <f>Drivers!R24</f>
        <v>38</v>
      </c>
      <c r="S9" s="80">
        <f>Drivers!S24</f>
        <v>6</v>
      </c>
      <c r="T9" s="80">
        <f>Drivers!T24</f>
        <v>25</v>
      </c>
      <c r="U9" s="80">
        <f>Drivers!U24</f>
        <v>53</v>
      </c>
      <c r="V9" s="80">
        <f>Drivers!V24</f>
        <v>21</v>
      </c>
      <c r="W9" s="80">
        <f>Drivers!W24</f>
        <v>26</v>
      </c>
      <c r="X9" s="80">
        <f>Drivers!X24</f>
        <v>22</v>
      </c>
      <c r="Y9" s="80">
        <f>Drivers!Y24</f>
        <v>32</v>
      </c>
      <c r="Z9" s="80">
        <f>Drivers!Z24</f>
        <v>30</v>
      </c>
      <c r="AA9" s="80">
        <f>Drivers!AA24</f>
        <v>14</v>
      </c>
      <c r="AB9" s="80">
        <f>Drivers!AB24</f>
        <v>22</v>
      </c>
      <c r="AC9" s="80" t="str">
        <f>Drivers!AC24</f>
        <v/>
      </c>
      <c r="AD9" s="80" t="str">
        <f>Drivers!AD24</f>
        <v/>
      </c>
      <c r="AE9" s="80" t="str">
        <f>Drivers!AE24</f>
        <v/>
      </c>
      <c r="AF9" s="80" t="str">
        <f>Drivers!AF24</f>
        <v/>
      </c>
      <c r="AG9" s="80" t="str">
        <f>Drivers!AG24</f>
        <v/>
      </c>
      <c r="AH9" s="80" t="str">
        <f>Drivers!AH24</f>
        <v/>
      </c>
      <c r="AI9" s="80" t="str">
        <f>Drivers!AI24</f>
        <v/>
      </c>
      <c r="AJ9" s="80" t="str">
        <f>Drivers!AJ24</f>
        <v/>
      </c>
      <c r="AK9" s="80" t="str">
        <f>Drivers!AK24</f>
        <v/>
      </c>
      <c r="AL9" s="80" t="str">
        <f>Drivers!AL24</f>
        <v/>
      </c>
      <c r="AM9" s="81">
        <f>SUM(C11:AL11)</f>
        <v>1366</v>
      </c>
      <c r="AN9" s="82">
        <f>RANK($AM$6:$AM$35,$AM$6:$AM$35,1&gt;10)</f>
        <v>4</v>
      </c>
      <c r="AO9" s="63">
        <f>AVERAGE(C11:AL11)</f>
        <v>37.94444444</v>
      </c>
      <c r="AP9" s="9"/>
      <c r="AQ9" s="76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  <row r="10" ht="12.75" customHeight="1">
      <c r="A10" s="64"/>
      <c r="B10" s="83" t="str">
        <f>Drivers!AO8</f>
        <v>Logano</v>
      </c>
      <c r="C10" s="65">
        <f>Drivers!C4</f>
        <v>17</v>
      </c>
      <c r="D10" s="65">
        <f>Drivers!D4</f>
        <v>34</v>
      </c>
      <c r="E10" s="65">
        <f>Drivers!E4</f>
        <v>13</v>
      </c>
      <c r="F10" s="65">
        <f>Drivers!F4</f>
        <v>10</v>
      </c>
      <c r="G10" s="65">
        <f>Drivers!G4</f>
        <v>20</v>
      </c>
      <c r="H10" s="65">
        <f>Drivers!H4</f>
        <v>21</v>
      </c>
      <c r="I10" s="65">
        <f>Drivers!I4</f>
        <v>21</v>
      </c>
      <c r="J10" s="65">
        <f>Drivers!J4</f>
        <v>17</v>
      </c>
      <c r="K10" s="65">
        <f>Drivers!K4</f>
        <v>11</v>
      </c>
      <c r="L10" s="65">
        <f>Drivers!L4</f>
        <v>41</v>
      </c>
      <c r="M10" s="65">
        <f>Drivers!M4</f>
        <v>11</v>
      </c>
      <c r="N10" s="65">
        <f>Drivers!N4</f>
        <v>20</v>
      </c>
      <c r="O10" s="65">
        <f>Drivers!O22</f>
        <v>29</v>
      </c>
      <c r="P10" s="65">
        <f>Drivers!P22</f>
        <v>23</v>
      </c>
      <c r="Q10" s="65">
        <f>Drivers!Q22</f>
        <v>32</v>
      </c>
      <c r="R10" s="65">
        <f>Drivers!R22</f>
        <v>5</v>
      </c>
      <c r="S10" s="65">
        <f>Drivers!S22</f>
        <v>23</v>
      </c>
      <c r="T10" s="65">
        <f>Drivers!T22</f>
        <v>13</v>
      </c>
      <c r="U10" s="65">
        <f>Drivers!U22</f>
        <v>25</v>
      </c>
      <c r="V10" s="65">
        <f>Drivers!V22</f>
        <v>43</v>
      </c>
      <c r="W10" s="65">
        <f>Drivers!W22</f>
        <v>73</v>
      </c>
      <c r="X10" s="65">
        <f>Drivers!X22</f>
        <v>34</v>
      </c>
      <c r="Y10" s="65">
        <f>Drivers!Y22</f>
        <v>41</v>
      </c>
      <c r="Z10" s="65">
        <f>Drivers!Z22</f>
        <v>73</v>
      </c>
      <c r="AA10" s="65">
        <f>Drivers!AA22</f>
        <v>23</v>
      </c>
      <c r="AB10" s="65">
        <f>Drivers!AB22</f>
        <v>27</v>
      </c>
      <c r="AC10" s="65" t="str">
        <f>Drivers!AC22</f>
        <v/>
      </c>
      <c r="AD10" s="65" t="str">
        <f>Drivers!AD22</f>
        <v/>
      </c>
      <c r="AE10" s="65" t="str">
        <f>Drivers!AE22</f>
        <v/>
      </c>
      <c r="AF10" s="65" t="str">
        <f>Drivers!AF22</f>
        <v/>
      </c>
      <c r="AG10" s="65" t="str">
        <f>Drivers!AG22</f>
        <v/>
      </c>
      <c r="AH10" s="65" t="str">
        <f>Drivers!AH22</f>
        <v/>
      </c>
      <c r="AI10" s="65" t="str">
        <f>Drivers!AI22</f>
        <v/>
      </c>
      <c r="AJ10" s="65" t="str">
        <f>Drivers!AJ22</f>
        <v/>
      </c>
      <c r="AK10" s="65" t="str">
        <f>Drivers!AK22</f>
        <v/>
      </c>
      <c r="AL10" s="65" t="str">
        <f>Drivers!AL22</f>
        <v/>
      </c>
      <c r="AM10" s="16"/>
      <c r="AN10" s="16"/>
      <c r="AO10" s="16"/>
      <c r="AP10" s="9"/>
      <c r="AQ10" s="76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ht="12.75" customHeight="1">
      <c r="A11" s="68"/>
      <c r="B11" s="85"/>
      <c r="C11" s="86">
        <f t="shared" ref="C11:AL11" si="2">SUM(C9+C10)</f>
        <v>42</v>
      </c>
      <c r="D11" s="86">
        <f t="shared" si="2"/>
        <v>59</v>
      </c>
      <c r="E11" s="86">
        <f t="shared" si="2"/>
        <v>39</v>
      </c>
      <c r="F11" s="86">
        <f t="shared" si="2"/>
        <v>42</v>
      </c>
      <c r="G11" s="86">
        <f t="shared" si="2"/>
        <v>69</v>
      </c>
      <c r="H11" s="86">
        <f t="shared" si="2"/>
        <v>55</v>
      </c>
      <c r="I11" s="86">
        <f t="shared" si="2"/>
        <v>68</v>
      </c>
      <c r="J11" s="86">
        <f t="shared" si="2"/>
        <v>24</v>
      </c>
      <c r="K11" s="86">
        <f t="shared" si="2"/>
        <v>41</v>
      </c>
      <c r="L11" s="87">
        <f t="shared" si="2"/>
        <v>43</v>
      </c>
      <c r="M11" s="86">
        <f t="shared" si="2"/>
        <v>42</v>
      </c>
      <c r="N11" s="86">
        <f t="shared" si="2"/>
        <v>21</v>
      </c>
      <c r="O11" s="86">
        <f t="shared" si="2"/>
        <v>57</v>
      </c>
      <c r="P11" s="86">
        <f t="shared" si="2"/>
        <v>38</v>
      </c>
      <c r="Q11" s="86">
        <f t="shared" si="2"/>
        <v>57</v>
      </c>
      <c r="R11" s="86">
        <f t="shared" si="2"/>
        <v>43</v>
      </c>
      <c r="S11" s="86">
        <f t="shared" si="2"/>
        <v>29</v>
      </c>
      <c r="T11" s="86">
        <f t="shared" si="2"/>
        <v>38</v>
      </c>
      <c r="U11" s="86">
        <f t="shared" si="2"/>
        <v>78</v>
      </c>
      <c r="V11" s="86">
        <f t="shared" si="2"/>
        <v>64</v>
      </c>
      <c r="W11" s="86">
        <f t="shared" si="2"/>
        <v>99</v>
      </c>
      <c r="X11" s="86">
        <f t="shared" si="2"/>
        <v>56</v>
      </c>
      <c r="Y11" s="86">
        <f t="shared" si="2"/>
        <v>73</v>
      </c>
      <c r="Z11" s="86">
        <f t="shared" si="2"/>
        <v>103</v>
      </c>
      <c r="AA11" s="86">
        <f t="shared" si="2"/>
        <v>37</v>
      </c>
      <c r="AB11" s="86">
        <f t="shared" si="2"/>
        <v>49</v>
      </c>
      <c r="AC11" s="87">
        <f t="shared" si="2"/>
        <v>0</v>
      </c>
      <c r="AD11" s="86">
        <f t="shared" si="2"/>
        <v>0</v>
      </c>
      <c r="AE11" s="86">
        <f t="shared" si="2"/>
        <v>0</v>
      </c>
      <c r="AF11" s="86">
        <f t="shared" si="2"/>
        <v>0</v>
      </c>
      <c r="AG11" s="86">
        <f t="shared" si="2"/>
        <v>0</v>
      </c>
      <c r="AH11" s="86">
        <f t="shared" si="2"/>
        <v>0</v>
      </c>
      <c r="AI11" s="86">
        <f t="shared" si="2"/>
        <v>0</v>
      </c>
      <c r="AJ11" s="86">
        <f t="shared" si="2"/>
        <v>0</v>
      </c>
      <c r="AK11" s="86">
        <f t="shared" si="2"/>
        <v>0</v>
      </c>
      <c r="AL11" s="88">
        <f t="shared" si="2"/>
        <v>0</v>
      </c>
      <c r="AM11" s="75"/>
      <c r="AN11" s="75"/>
      <c r="AO11" s="75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</row>
    <row r="12" ht="12.75" customHeight="1">
      <c r="A12" s="78" t="str">
        <f>Drivers!AN10</f>
        <v>Hackman</v>
      </c>
      <c r="B12" s="79" t="str">
        <f>Drivers!AO10</f>
        <v>Bell</v>
      </c>
      <c r="C12" s="80">
        <f>Drivers!C20</f>
        <v>2</v>
      </c>
      <c r="D12" s="80">
        <f>Drivers!D20</f>
        <v>16</v>
      </c>
      <c r="E12" s="80">
        <f>Drivers!E20</f>
        <v>34</v>
      </c>
      <c r="F12" s="80">
        <f>Drivers!F20</f>
        <v>54</v>
      </c>
      <c r="G12" s="80">
        <f>Drivers!G20</f>
        <v>51</v>
      </c>
      <c r="H12" s="80">
        <f>Drivers!H20</f>
        <v>18</v>
      </c>
      <c r="I12" s="80">
        <f>Drivers!I20</f>
        <v>30</v>
      </c>
      <c r="J12" s="80">
        <f>Drivers!J20</f>
        <v>19</v>
      </c>
      <c r="K12" s="80">
        <f>Drivers!K20</f>
        <v>30</v>
      </c>
      <c r="L12" s="80">
        <f>Drivers!L20</f>
        <v>29</v>
      </c>
      <c r="M12" s="80">
        <f>Drivers!M20</f>
        <v>1</v>
      </c>
      <c r="N12" s="80">
        <f>Drivers!N20</f>
        <v>20</v>
      </c>
      <c r="O12" s="80">
        <f>Drivers!O20</f>
        <v>50</v>
      </c>
      <c r="P12" s="80">
        <f>Drivers!P20</f>
        <v>38</v>
      </c>
      <c r="Q12" s="80">
        <f>Drivers!Q20</f>
        <v>11</v>
      </c>
      <c r="R12" s="80">
        <f>Drivers!R20</f>
        <v>11</v>
      </c>
      <c r="S12" s="80">
        <f>Drivers!S20</f>
        <v>1</v>
      </c>
      <c r="T12" s="80">
        <f>Drivers!T20</f>
        <v>50</v>
      </c>
      <c r="U12" s="80">
        <f>Drivers!U20</f>
        <v>40</v>
      </c>
      <c r="V12" s="80">
        <f>Drivers!V20</f>
        <v>39</v>
      </c>
      <c r="W12" s="80">
        <f>Drivers!W20</f>
        <v>23</v>
      </c>
      <c r="X12" s="80">
        <f>Drivers!X20</f>
        <v>35</v>
      </c>
      <c r="Y12" s="80">
        <f>Drivers!Y20</f>
        <v>50</v>
      </c>
      <c r="Z12" s="80">
        <f>Drivers!Z20</f>
        <v>36</v>
      </c>
      <c r="AA12" s="80">
        <f>Drivers!AA20</f>
        <v>43</v>
      </c>
      <c r="AB12" s="80">
        <f>Drivers!AB20</f>
        <v>20</v>
      </c>
      <c r="AC12" s="80" t="str">
        <f>Drivers!AC20</f>
        <v/>
      </c>
      <c r="AD12" s="80" t="str">
        <f>Drivers!AD20</f>
        <v/>
      </c>
      <c r="AE12" s="80" t="str">
        <f>Drivers!AE20</f>
        <v/>
      </c>
      <c r="AF12" s="80" t="str">
        <f>Drivers!AF20</f>
        <v/>
      </c>
      <c r="AG12" s="80" t="str">
        <f>Drivers!AG20</f>
        <v/>
      </c>
      <c r="AH12" s="80" t="str">
        <f>Drivers!AH20</f>
        <v/>
      </c>
      <c r="AI12" s="80" t="str">
        <f>Drivers!AI20</f>
        <v/>
      </c>
      <c r="AJ12" s="80" t="str">
        <f>Drivers!AJ20</f>
        <v/>
      </c>
      <c r="AK12" s="80" t="str">
        <f>Drivers!AK20</f>
        <v/>
      </c>
      <c r="AL12" s="80" t="str">
        <f>Drivers!AL20</f>
        <v/>
      </c>
      <c r="AM12" s="61">
        <f>SUM(C14:AL14)</f>
        <v>1427</v>
      </c>
      <c r="AN12" s="89">
        <f>RANK($AM$6:$AM$35,$AM$6:$AM$35,1&gt;10)</f>
        <v>3</v>
      </c>
      <c r="AO12" s="63">
        <f>AVERAGE(C14:AL14)</f>
        <v>39.63888889</v>
      </c>
      <c r="AP12" s="9"/>
      <c r="AQ12" s="76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</row>
    <row r="13" ht="12.75" customHeight="1">
      <c r="A13" s="64"/>
      <c r="B13" s="55" t="str">
        <f>Drivers!AO11</f>
        <v>Buscher</v>
      </c>
      <c r="C13" s="65">
        <f>Drivers!C18</f>
        <v>39</v>
      </c>
      <c r="D13" s="65">
        <f>Drivers!D18</f>
        <v>22</v>
      </c>
      <c r="E13" s="65">
        <f>Drivers!E18</f>
        <v>19</v>
      </c>
      <c r="F13" s="65">
        <f>Drivers!F18</f>
        <v>30</v>
      </c>
      <c r="G13" s="65">
        <f>Drivers!G18</f>
        <v>35</v>
      </c>
      <c r="H13" s="65">
        <f>Drivers!H18</f>
        <v>42</v>
      </c>
      <c r="I13" s="65">
        <f>Drivers!I18</f>
        <v>18</v>
      </c>
      <c r="J13" s="65">
        <f>Drivers!J18</f>
        <v>24</v>
      </c>
      <c r="K13" s="65">
        <f>Drivers!K18</f>
        <v>29</v>
      </c>
      <c r="L13" s="65">
        <f>Drivers!L18</f>
        <v>50</v>
      </c>
      <c r="M13" s="65">
        <f>Drivers!M18</f>
        <v>36</v>
      </c>
      <c r="N13" s="65">
        <f>Drivers!N18</f>
        <v>30</v>
      </c>
      <c r="O13" s="65">
        <f>Drivers!O18</f>
        <v>10</v>
      </c>
      <c r="P13" s="65">
        <f>Drivers!P18</f>
        <v>8</v>
      </c>
      <c r="Q13" s="65">
        <f>Drivers!Q18</f>
        <v>31</v>
      </c>
      <c r="R13" s="65">
        <f>Drivers!R18</f>
        <v>37</v>
      </c>
      <c r="S13" s="65">
        <f>Drivers!S18</f>
        <v>39</v>
      </c>
      <c r="T13" s="65">
        <f>Drivers!T18</f>
        <v>18</v>
      </c>
      <c r="U13" s="65">
        <f>Drivers!U18</f>
        <v>23</v>
      </c>
      <c r="V13" s="65">
        <f>Drivers!V18</f>
        <v>27</v>
      </c>
      <c r="W13" s="65">
        <f>Drivers!W18</f>
        <v>17</v>
      </c>
      <c r="X13" s="65">
        <f>Drivers!X18</f>
        <v>28</v>
      </c>
      <c r="Y13" s="65">
        <f>Drivers!Y18</f>
        <v>24</v>
      </c>
      <c r="Z13" s="65">
        <f>Drivers!Z18</f>
        <v>16</v>
      </c>
      <c r="AA13" s="65">
        <f>Drivers!AA18</f>
        <v>23</v>
      </c>
      <c r="AB13" s="65">
        <f>Drivers!AB18</f>
        <v>1</v>
      </c>
      <c r="AC13" s="65" t="str">
        <f>Drivers!AC18</f>
        <v/>
      </c>
      <c r="AD13" s="65" t="str">
        <f>Drivers!AD18</f>
        <v/>
      </c>
      <c r="AE13" s="65" t="str">
        <f>Drivers!AE18</f>
        <v/>
      </c>
      <c r="AF13" s="65" t="str">
        <f>Drivers!AF18</f>
        <v/>
      </c>
      <c r="AG13" s="65" t="str">
        <f>Drivers!AG18</f>
        <v/>
      </c>
      <c r="AH13" s="65" t="str">
        <f>Drivers!AH18</f>
        <v/>
      </c>
      <c r="AI13" s="65" t="str">
        <f>Drivers!AI18</f>
        <v/>
      </c>
      <c r="AJ13" s="65" t="str">
        <f>Drivers!AJ18</f>
        <v/>
      </c>
      <c r="AK13" s="65" t="str">
        <f>Drivers!AK18</f>
        <v/>
      </c>
      <c r="AL13" s="65" t="str">
        <f>Drivers!AL18</f>
        <v/>
      </c>
      <c r="AM13" s="16"/>
      <c r="AN13" s="16"/>
      <c r="AO13" s="16"/>
      <c r="AP13" s="9"/>
      <c r="AQ13" s="76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</row>
    <row r="14" ht="13.5" customHeight="1">
      <c r="A14" s="68"/>
      <c r="B14" s="90"/>
      <c r="C14" s="86">
        <f>SUM(C12:C13)</f>
        <v>41</v>
      </c>
      <c r="D14" s="86">
        <f t="shared" ref="D14:AL14" si="3">SUM(D12+D13)</f>
        <v>38</v>
      </c>
      <c r="E14" s="86">
        <f t="shared" si="3"/>
        <v>53</v>
      </c>
      <c r="F14" s="86">
        <f t="shared" si="3"/>
        <v>84</v>
      </c>
      <c r="G14" s="86">
        <f t="shared" si="3"/>
        <v>86</v>
      </c>
      <c r="H14" s="86">
        <f t="shared" si="3"/>
        <v>60</v>
      </c>
      <c r="I14" s="86">
        <f t="shared" si="3"/>
        <v>48</v>
      </c>
      <c r="J14" s="86">
        <f t="shared" si="3"/>
        <v>43</v>
      </c>
      <c r="K14" s="86">
        <f t="shared" si="3"/>
        <v>59</v>
      </c>
      <c r="L14" s="87">
        <f t="shared" si="3"/>
        <v>79</v>
      </c>
      <c r="M14" s="86">
        <f t="shared" si="3"/>
        <v>37</v>
      </c>
      <c r="N14" s="86">
        <f t="shared" si="3"/>
        <v>50</v>
      </c>
      <c r="O14" s="86">
        <f t="shared" si="3"/>
        <v>60</v>
      </c>
      <c r="P14" s="86">
        <f t="shared" si="3"/>
        <v>46</v>
      </c>
      <c r="Q14" s="86">
        <f t="shared" si="3"/>
        <v>42</v>
      </c>
      <c r="R14" s="86">
        <f t="shared" si="3"/>
        <v>48</v>
      </c>
      <c r="S14" s="86">
        <f t="shared" si="3"/>
        <v>40</v>
      </c>
      <c r="T14" s="86">
        <f t="shared" si="3"/>
        <v>68</v>
      </c>
      <c r="U14" s="86">
        <f t="shared" si="3"/>
        <v>63</v>
      </c>
      <c r="V14" s="86">
        <f t="shared" si="3"/>
        <v>66</v>
      </c>
      <c r="W14" s="86">
        <f t="shared" si="3"/>
        <v>40</v>
      </c>
      <c r="X14" s="86">
        <f t="shared" si="3"/>
        <v>63</v>
      </c>
      <c r="Y14" s="86">
        <f t="shared" si="3"/>
        <v>74</v>
      </c>
      <c r="Z14" s="86">
        <f t="shared" si="3"/>
        <v>52</v>
      </c>
      <c r="AA14" s="86">
        <f t="shared" si="3"/>
        <v>66</v>
      </c>
      <c r="AB14" s="86">
        <f t="shared" si="3"/>
        <v>21</v>
      </c>
      <c r="AC14" s="87">
        <f t="shared" si="3"/>
        <v>0</v>
      </c>
      <c r="AD14" s="86">
        <f t="shared" si="3"/>
        <v>0</v>
      </c>
      <c r="AE14" s="86">
        <f t="shared" si="3"/>
        <v>0</v>
      </c>
      <c r="AF14" s="86">
        <f t="shared" si="3"/>
        <v>0</v>
      </c>
      <c r="AG14" s="86">
        <f t="shared" si="3"/>
        <v>0</v>
      </c>
      <c r="AH14" s="86">
        <f t="shared" si="3"/>
        <v>0</v>
      </c>
      <c r="AI14" s="86">
        <f t="shared" si="3"/>
        <v>0</v>
      </c>
      <c r="AJ14" s="86">
        <f t="shared" si="3"/>
        <v>0</v>
      </c>
      <c r="AK14" s="86">
        <f t="shared" si="3"/>
        <v>0</v>
      </c>
      <c r="AL14" s="88">
        <f t="shared" si="3"/>
        <v>0</v>
      </c>
      <c r="AM14" s="21"/>
      <c r="AN14" s="21"/>
      <c r="AO14" s="75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</row>
    <row r="15" ht="12.75" customHeight="1">
      <c r="A15" s="78" t="str">
        <f>Drivers!AN13</f>
        <v>Tony (1)</v>
      </c>
      <c r="B15" s="79" t="str">
        <f>Drivers!AO13</f>
        <v>Briscoe</v>
      </c>
      <c r="C15" s="80">
        <f>Drivers!C19</f>
        <v>1</v>
      </c>
      <c r="D15" s="80">
        <f>Drivers!D19</f>
        <v>43</v>
      </c>
      <c r="E15" s="80">
        <f>Drivers!E19</f>
        <v>1</v>
      </c>
      <c r="F15" s="80">
        <f>Drivers!F19</f>
        <v>1</v>
      </c>
      <c r="G15" s="80">
        <f>Drivers!G19</f>
        <v>29</v>
      </c>
      <c r="H15" s="80">
        <f>Drivers!H19</f>
        <v>32</v>
      </c>
      <c r="I15" s="80">
        <f>Drivers!I19</f>
        <v>23</v>
      </c>
      <c r="J15" s="80">
        <f>Drivers!J19</f>
        <v>45</v>
      </c>
      <c r="K15" s="80">
        <f>Drivers!K19</f>
        <v>38</v>
      </c>
      <c r="L15" s="80">
        <f>Drivers!L19</f>
        <v>8</v>
      </c>
      <c r="M15" s="80">
        <f>Drivers!M19</f>
        <v>20</v>
      </c>
      <c r="N15" s="80">
        <f>Drivers!N19</f>
        <v>35</v>
      </c>
      <c r="O15" s="80">
        <f>Drivers!O19</f>
        <v>27</v>
      </c>
      <c r="P15" s="80">
        <f>Drivers!P19</f>
        <v>39</v>
      </c>
      <c r="Q15" s="80">
        <f>Drivers!Q19</f>
        <v>27</v>
      </c>
      <c r="R15" s="80">
        <f>Drivers!R19</f>
        <v>41</v>
      </c>
      <c r="S15" s="80">
        <f>Drivers!S19</f>
        <v>20</v>
      </c>
      <c r="T15" s="80">
        <f>Drivers!T19</f>
        <v>37</v>
      </c>
      <c r="U15" s="80">
        <f>Drivers!U19</f>
        <v>70</v>
      </c>
      <c r="V15" s="80">
        <f>Drivers!V19</f>
        <v>4</v>
      </c>
      <c r="W15" s="80">
        <f>Drivers!W19</f>
        <v>45</v>
      </c>
      <c r="X15" s="80">
        <f>Drivers!X19</f>
        <v>36</v>
      </c>
      <c r="Y15" s="80">
        <f>Drivers!Y19</f>
        <v>40</v>
      </c>
      <c r="Z15" s="80">
        <f>Drivers!Z19</f>
        <v>52</v>
      </c>
      <c r="AA15" s="80">
        <f>Drivers!AA19</f>
        <v>12</v>
      </c>
      <c r="AB15" s="80">
        <f>Drivers!AB19</f>
        <v>34</v>
      </c>
      <c r="AC15" s="80" t="str">
        <f>Drivers!AC19</f>
        <v/>
      </c>
      <c r="AD15" s="80" t="str">
        <f>Drivers!AD19</f>
        <v/>
      </c>
      <c r="AE15" s="80" t="str">
        <f>Drivers!AE19</f>
        <v/>
      </c>
      <c r="AF15" s="80" t="str">
        <f>Drivers!AF19</f>
        <v/>
      </c>
      <c r="AG15" s="80" t="str">
        <f>Drivers!AG19</f>
        <v/>
      </c>
      <c r="AH15" s="80" t="str">
        <f>Drivers!AH19</f>
        <v/>
      </c>
      <c r="AI15" s="80" t="str">
        <f>Drivers!AI19</f>
        <v/>
      </c>
      <c r="AJ15" s="80" t="str">
        <f>Drivers!AJ19</f>
        <v/>
      </c>
      <c r="AK15" s="80" t="str">
        <f>Drivers!AK19</f>
        <v/>
      </c>
      <c r="AL15" s="80" t="str">
        <f>Drivers!AL19</f>
        <v/>
      </c>
      <c r="AM15" s="81">
        <f>SUM(C17:AL17)</f>
        <v>1325</v>
      </c>
      <c r="AN15" s="82">
        <f>RANK($AM$6:$AM$35,$AM$6:$AM$35,1&gt;10)</f>
        <v>6</v>
      </c>
      <c r="AO15" s="63">
        <f>AVERAGE(C17:AL17)</f>
        <v>36.80555556</v>
      </c>
      <c r="AP15" s="9"/>
      <c r="AQ15" s="76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</row>
    <row r="16" ht="12.75" customHeight="1">
      <c r="A16" s="64"/>
      <c r="B16" s="83" t="str">
        <f>Drivers!AO14</f>
        <v>Hosevar</v>
      </c>
      <c r="C16" s="65">
        <f>Drivers!C22</f>
        <v>36</v>
      </c>
      <c r="D16" s="65">
        <f>Drivers!D22</f>
        <v>22</v>
      </c>
      <c r="E16" s="65">
        <f>Drivers!E22</f>
        <v>22</v>
      </c>
      <c r="F16" s="65">
        <f>Drivers!F22</f>
        <v>23</v>
      </c>
      <c r="G16" s="65">
        <f>Drivers!G22</f>
        <v>22</v>
      </c>
      <c r="H16" s="65">
        <f>Drivers!H22</f>
        <v>4</v>
      </c>
      <c r="I16" s="65">
        <f>Drivers!I22</f>
        <v>46</v>
      </c>
      <c r="J16" s="65">
        <f>Drivers!J22</f>
        <v>33</v>
      </c>
      <c r="K16" s="65">
        <f>Drivers!K22</f>
        <v>7</v>
      </c>
      <c r="L16" s="65">
        <f>Drivers!L22</f>
        <v>9</v>
      </c>
      <c r="M16" s="65">
        <f>Drivers!M22</f>
        <v>1</v>
      </c>
      <c r="N16" s="65">
        <f>Drivers!N42</f>
        <v>9</v>
      </c>
      <c r="O16" s="65">
        <f>Drivers!O42</f>
        <v>14</v>
      </c>
      <c r="P16" s="65">
        <f>Drivers!P42</f>
        <v>27</v>
      </c>
      <c r="Q16" s="65">
        <f>Drivers!Q42</f>
        <v>45</v>
      </c>
      <c r="R16" s="65">
        <f>Drivers!R42</f>
        <v>21</v>
      </c>
      <c r="S16" s="65">
        <f>Drivers!S42</f>
        <v>27</v>
      </c>
      <c r="T16" s="65">
        <f>Drivers!T42</f>
        <v>33</v>
      </c>
      <c r="U16" s="65">
        <f>Drivers!U42</f>
        <v>15</v>
      </c>
      <c r="V16" s="65">
        <f>Drivers!V42</f>
        <v>39</v>
      </c>
      <c r="W16" s="65">
        <f>Drivers!W42</f>
        <v>35</v>
      </c>
      <c r="X16" s="65">
        <f>Drivers!X42</f>
        <v>40</v>
      </c>
      <c r="Y16" s="65">
        <f>Drivers!Y42</f>
        <v>6</v>
      </c>
      <c r="Z16" s="65">
        <f>Drivers!Z42</f>
        <v>1</v>
      </c>
      <c r="AA16" s="65">
        <f>Drivers!AA42</f>
        <v>27</v>
      </c>
      <c r="AB16" s="65">
        <f>Drivers!AB42</f>
        <v>1</v>
      </c>
      <c r="AC16" s="65" t="str">
        <f>Drivers!AC42</f>
        <v/>
      </c>
      <c r="AD16" s="65" t="str">
        <f>Drivers!AD42</f>
        <v/>
      </c>
      <c r="AE16" s="65" t="str">
        <f>Drivers!AE42</f>
        <v/>
      </c>
      <c r="AF16" s="65" t="str">
        <f>Drivers!AF42</f>
        <v/>
      </c>
      <c r="AG16" s="65" t="str">
        <f>Drivers!AG42</f>
        <v/>
      </c>
      <c r="AH16" s="65" t="str">
        <f>Drivers!AH42</f>
        <v/>
      </c>
      <c r="AI16" s="65" t="str">
        <f>Drivers!AI42</f>
        <v/>
      </c>
      <c r="AJ16" s="65" t="str">
        <f>Drivers!AJ42</f>
        <v/>
      </c>
      <c r="AK16" s="65" t="str">
        <f>Drivers!AK42</f>
        <v/>
      </c>
      <c r="AL16" s="65" t="str">
        <f>Drivers!AL42</f>
        <v/>
      </c>
      <c r="AM16" s="16"/>
      <c r="AN16" s="16"/>
      <c r="AO16" s="16"/>
      <c r="AP16" s="9"/>
      <c r="AQ16" s="76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</row>
    <row r="17" ht="13.5" customHeight="1">
      <c r="A17" s="68"/>
      <c r="B17" s="90"/>
      <c r="C17" s="86">
        <f t="shared" ref="C17:AL17" si="4">SUM(C15+C16)</f>
        <v>37</v>
      </c>
      <c r="D17" s="86">
        <f t="shared" si="4"/>
        <v>65</v>
      </c>
      <c r="E17" s="86">
        <f t="shared" si="4"/>
        <v>23</v>
      </c>
      <c r="F17" s="86">
        <f t="shared" si="4"/>
        <v>24</v>
      </c>
      <c r="G17" s="86">
        <f t="shared" si="4"/>
        <v>51</v>
      </c>
      <c r="H17" s="86">
        <f t="shared" si="4"/>
        <v>36</v>
      </c>
      <c r="I17" s="86">
        <f t="shared" si="4"/>
        <v>69</v>
      </c>
      <c r="J17" s="86">
        <f t="shared" si="4"/>
        <v>78</v>
      </c>
      <c r="K17" s="86">
        <f t="shared" si="4"/>
        <v>45</v>
      </c>
      <c r="L17" s="87">
        <f t="shared" si="4"/>
        <v>17</v>
      </c>
      <c r="M17" s="86">
        <f t="shared" si="4"/>
        <v>21</v>
      </c>
      <c r="N17" s="86">
        <f t="shared" si="4"/>
        <v>44</v>
      </c>
      <c r="O17" s="86">
        <f t="shared" si="4"/>
        <v>41</v>
      </c>
      <c r="P17" s="86">
        <f t="shared" si="4"/>
        <v>66</v>
      </c>
      <c r="Q17" s="86">
        <f t="shared" si="4"/>
        <v>72</v>
      </c>
      <c r="R17" s="86">
        <f t="shared" si="4"/>
        <v>62</v>
      </c>
      <c r="S17" s="86">
        <f t="shared" si="4"/>
        <v>47</v>
      </c>
      <c r="T17" s="86">
        <f t="shared" si="4"/>
        <v>70</v>
      </c>
      <c r="U17" s="86">
        <f t="shared" si="4"/>
        <v>85</v>
      </c>
      <c r="V17" s="86">
        <f t="shared" si="4"/>
        <v>43</v>
      </c>
      <c r="W17" s="86">
        <f t="shared" si="4"/>
        <v>80</v>
      </c>
      <c r="X17" s="86">
        <f t="shared" si="4"/>
        <v>76</v>
      </c>
      <c r="Y17" s="86">
        <f t="shared" si="4"/>
        <v>46</v>
      </c>
      <c r="Z17" s="86">
        <f t="shared" si="4"/>
        <v>53</v>
      </c>
      <c r="AA17" s="86">
        <f t="shared" si="4"/>
        <v>39</v>
      </c>
      <c r="AB17" s="86">
        <f t="shared" si="4"/>
        <v>35</v>
      </c>
      <c r="AC17" s="87">
        <f t="shared" si="4"/>
        <v>0</v>
      </c>
      <c r="AD17" s="86">
        <f t="shared" si="4"/>
        <v>0</v>
      </c>
      <c r="AE17" s="86">
        <f t="shared" si="4"/>
        <v>0</v>
      </c>
      <c r="AF17" s="86">
        <f t="shared" si="4"/>
        <v>0</v>
      </c>
      <c r="AG17" s="86">
        <f t="shared" si="4"/>
        <v>0</v>
      </c>
      <c r="AH17" s="86">
        <f t="shared" si="4"/>
        <v>0</v>
      </c>
      <c r="AI17" s="86">
        <f t="shared" si="4"/>
        <v>0</v>
      </c>
      <c r="AJ17" s="86">
        <f t="shared" si="4"/>
        <v>0</v>
      </c>
      <c r="AK17" s="86">
        <f t="shared" si="4"/>
        <v>0</v>
      </c>
      <c r="AL17" s="88">
        <f t="shared" si="4"/>
        <v>0</v>
      </c>
      <c r="AM17" s="75"/>
      <c r="AN17" s="75"/>
      <c r="AO17" s="75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</row>
    <row r="18" ht="12.75" customHeight="1">
      <c r="A18" s="78" t="str">
        <f>Drivers!AN16</f>
        <v>Gass</v>
      </c>
      <c r="B18" s="55" t="str">
        <f>Drivers!AO16</f>
        <v>Hamlin</v>
      </c>
      <c r="C18" s="80">
        <f>Drivers!C14</f>
        <v>6</v>
      </c>
      <c r="D18" s="80">
        <f>Drivers!D14</f>
        <v>24</v>
      </c>
      <c r="E18" s="80">
        <f>Drivers!E14</f>
        <v>28</v>
      </c>
      <c r="F18" s="80">
        <f>Drivers!F14</f>
        <v>47</v>
      </c>
      <c r="G18" s="80">
        <f>Drivers!G14</f>
        <v>70</v>
      </c>
      <c r="H18" s="80">
        <f>Drivers!H14</f>
        <v>26</v>
      </c>
      <c r="I18" s="80">
        <f>Drivers!I14</f>
        <v>56</v>
      </c>
      <c r="J18" s="80">
        <f>Drivers!J14</f>
        <v>41</v>
      </c>
      <c r="K18" s="80">
        <f>Drivers!K14</f>
        <v>52</v>
      </c>
      <c r="L18" s="80">
        <f>Drivers!L14</f>
        <v>22</v>
      </c>
      <c r="M18" s="80">
        <f>Drivers!M14</f>
        <v>43</v>
      </c>
      <c r="N18" s="80">
        <f>Drivers!N14</f>
        <v>21</v>
      </c>
      <c r="O18" s="80">
        <f>Drivers!O14</f>
        <v>60</v>
      </c>
      <c r="P18" s="80">
        <f>Drivers!P14</f>
        <v>62</v>
      </c>
      <c r="Q18" s="80">
        <f>Drivers!Q14</f>
        <v>58</v>
      </c>
      <c r="R18" s="80">
        <f>Drivers!R14</f>
        <v>67</v>
      </c>
      <c r="S18" s="80">
        <f>Drivers!S14</f>
        <v>23</v>
      </c>
      <c r="T18" s="80">
        <f>Drivers!T14</f>
        <v>11</v>
      </c>
      <c r="U18" s="80">
        <f>Drivers!U14</f>
        <v>45</v>
      </c>
      <c r="V18" s="80">
        <f>Drivers!V14</f>
        <v>27</v>
      </c>
      <c r="W18" s="80">
        <f>Drivers!W14</f>
        <v>51</v>
      </c>
      <c r="X18" s="80">
        <f>Drivers!X14</f>
        <v>44</v>
      </c>
      <c r="Y18" s="80">
        <f>Drivers!Y14</f>
        <v>37</v>
      </c>
      <c r="Z18" s="80">
        <f>Drivers!Z14</f>
        <v>46</v>
      </c>
      <c r="AA18" s="80">
        <f>Drivers!AA14</f>
        <v>32</v>
      </c>
      <c r="AB18" s="80">
        <f>Drivers!AB14</f>
        <v>26</v>
      </c>
      <c r="AC18" s="80" t="str">
        <f>Drivers!AC14</f>
        <v/>
      </c>
      <c r="AD18" s="80" t="str">
        <f>Drivers!AD14</f>
        <v/>
      </c>
      <c r="AE18" s="80" t="str">
        <f>Drivers!AE14</f>
        <v/>
      </c>
      <c r="AF18" s="80" t="str">
        <f>Drivers!AF14</f>
        <v/>
      </c>
      <c r="AG18" s="80" t="str">
        <f>Drivers!AG14</f>
        <v/>
      </c>
      <c r="AH18" s="80" t="str">
        <f>Drivers!AH14</f>
        <v/>
      </c>
      <c r="AI18" s="80" t="str">
        <f>Drivers!AI14</f>
        <v/>
      </c>
      <c r="AJ18" s="80" t="str">
        <f>Drivers!AJ14</f>
        <v/>
      </c>
      <c r="AK18" s="80" t="str">
        <f>Drivers!AK14</f>
        <v/>
      </c>
      <c r="AL18" s="80" t="str">
        <f>Drivers!AL14</f>
        <v/>
      </c>
      <c r="AM18" s="81">
        <f>SUM(C20:AL20)</f>
        <v>1915</v>
      </c>
      <c r="AN18" s="89">
        <f>RANK($AM$6:$AM$35,$AM$6:$AM$35,1&gt;10)</f>
        <v>1</v>
      </c>
      <c r="AO18" s="63">
        <f>AVERAGE(C20:AL20)</f>
        <v>53.19444444</v>
      </c>
      <c r="AP18" s="9"/>
      <c r="AQ18" s="76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  <row r="19" ht="12.75" customHeight="1">
      <c r="A19" s="64"/>
      <c r="B19" s="55" t="str">
        <f>Drivers!AO17</f>
        <v>Gibbs</v>
      </c>
      <c r="C19" s="65">
        <f>Drivers!C39</f>
        <v>14</v>
      </c>
      <c r="D19" s="65">
        <f>Drivers!D39</f>
        <v>1</v>
      </c>
      <c r="E19" s="65">
        <f>Drivers!E39</f>
        <v>48</v>
      </c>
      <c r="F19" s="65">
        <f>Drivers!F39</f>
        <v>36</v>
      </c>
      <c r="G19" s="65">
        <f>Drivers!G39</f>
        <v>39</v>
      </c>
      <c r="H19" s="65">
        <f>Drivers!H39</f>
        <v>33</v>
      </c>
      <c r="I19" s="65">
        <f>Drivers!I39</f>
        <v>49</v>
      </c>
      <c r="J19" s="65">
        <f>Drivers!J39</f>
        <v>59</v>
      </c>
      <c r="K19" s="65">
        <f>Drivers!K39</f>
        <v>38</v>
      </c>
      <c r="L19" s="65">
        <f>Drivers!L39</f>
        <v>3</v>
      </c>
      <c r="M19" s="65">
        <f>Drivers!M39</f>
        <v>8</v>
      </c>
      <c r="N19" s="65">
        <f>Drivers!N39</f>
        <v>42</v>
      </c>
      <c r="O19" s="65">
        <f>Drivers!O39</f>
        <v>53</v>
      </c>
      <c r="P19" s="65">
        <f>Drivers!P39</f>
        <v>24</v>
      </c>
      <c r="Q19" s="65">
        <f>Drivers!Q39</f>
        <v>21</v>
      </c>
      <c r="R19" s="65">
        <f>Drivers!R39</f>
        <v>36</v>
      </c>
      <c r="S19" s="65">
        <f>Drivers!S39</f>
        <v>29</v>
      </c>
      <c r="T19" s="65">
        <f>Drivers!T39</f>
        <v>54</v>
      </c>
      <c r="U19" s="65">
        <f>Drivers!U39</f>
        <v>38</v>
      </c>
      <c r="V19" s="65">
        <f>Drivers!V39</f>
        <v>38</v>
      </c>
      <c r="W19" s="65">
        <f>Drivers!W39</f>
        <v>43</v>
      </c>
      <c r="X19" s="65">
        <f>Drivers!X39</f>
        <v>43</v>
      </c>
      <c r="Y19" s="65">
        <f>Drivers!Y39</f>
        <v>69</v>
      </c>
      <c r="Z19" s="65">
        <f>Drivers!Z39</f>
        <v>22</v>
      </c>
      <c r="AA19" s="65">
        <f>Drivers!AA39</f>
        <v>38</v>
      </c>
      <c r="AB19" s="65">
        <f>Drivers!AB39</f>
        <v>12</v>
      </c>
      <c r="AC19" s="65" t="str">
        <f>Drivers!AC39</f>
        <v/>
      </c>
      <c r="AD19" s="65" t="str">
        <f>Drivers!AD39</f>
        <v/>
      </c>
      <c r="AE19" s="65" t="str">
        <f>Drivers!AE39</f>
        <v/>
      </c>
      <c r="AF19" s="65" t="str">
        <f>Drivers!AF39</f>
        <v/>
      </c>
      <c r="AG19" s="65" t="str">
        <f>Drivers!AG39</f>
        <v/>
      </c>
      <c r="AH19" s="65" t="str">
        <f>Drivers!AH39</f>
        <v/>
      </c>
      <c r="AI19" s="65" t="str">
        <f>Drivers!AI39</f>
        <v/>
      </c>
      <c r="AJ19" s="65" t="str">
        <f>Drivers!AJ39</f>
        <v/>
      </c>
      <c r="AK19" s="65" t="str">
        <f>Drivers!AK39</f>
        <v/>
      </c>
      <c r="AL19" s="65" t="str">
        <f>Drivers!AL39</f>
        <v/>
      </c>
      <c r="AM19" s="16"/>
      <c r="AN19" s="16"/>
      <c r="AO19" s="16"/>
      <c r="AP19" s="9"/>
      <c r="AQ19" s="76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</row>
    <row r="20" ht="13.5" customHeight="1">
      <c r="A20" s="68"/>
      <c r="B20" s="90"/>
      <c r="C20" s="86">
        <f t="shared" ref="C20:AL20" si="5">SUM(C18+C19)</f>
        <v>20</v>
      </c>
      <c r="D20" s="86">
        <f t="shared" si="5"/>
        <v>25</v>
      </c>
      <c r="E20" s="86">
        <f t="shared" si="5"/>
        <v>76</v>
      </c>
      <c r="F20" s="86">
        <f t="shared" si="5"/>
        <v>83</v>
      </c>
      <c r="G20" s="86">
        <f t="shared" si="5"/>
        <v>109</v>
      </c>
      <c r="H20" s="86">
        <f t="shared" si="5"/>
        <v>59</v>
      </c>
      <c r="I20" s="86">
        <f t="shared" si="5"/>
        <v>105</v>
      </c>
      <c r="J20" s="86">
        <f t="shared" si="5"/>
        <v>100</v>
      </c>
      <c r="K20" s="86">
        <f t="shared" si="5"/>
        <v>90</v>
      </c>
      <c r="L20" s="87">
        <f t="shared" si="5"/>
        <v>25</v>
      </c>
      <c r="M20" s="86">
        <f t="shared" si="5"/>
        <v>51</v>
      </c>
      <c r="N20" s="86">
        <f t="shared" si="5"/>
        <v>63</v>
      </c>
      <c r="O20" s="86">
        <f t="shared" si="5"/>
        <v>113</v>
      </c>
      <c r="P20" s="86">
        <f t="shared" si="5"/>
        <v>86</v>
      </c>
      <c r="Q20" s="86">
        <f t="shared" si="5"/>
        <v>79</v>
      </c>
      <c r="R20" s="86">
        <f t="shared" si="5"/>
        <v>103</v>
      </c>
      <c r="S20" s="86">
        <f t="shared" si="5"/>
        <v>52</v>
      </c>
      <c r="T20" s="86">
        <f t="shared" si="5"/>
        <v>65</v>
      </c>
      <c r="U20" s="86">
        <f t="shared" si="5"/>
        <v>83</v>
      </c>
      <c r="V20" s="86">
        <f t="shared" si="5"/>
        <v>65</v>
      </c>
      <c r="W20" s="86">
        <f t="shared" si="5"/>
        <v>94</v>
      </c>
      <c r="X20" s="86">
        <f t="shared" si="5"/>
        <v>87</v>
      </c>
      <c r="Y20" s="86">
        <f t="shared" si="5"/>
        <v>106</v>
      </c>
      <c r="Z20" s="86">
        <f t="shared" si="5"/>
        <v>68</v>
      </c>
      <c r="AA20" s="86">
        <f t="shared" si="5"/>
        <v>70</v>
      </c>
      <c r="AB20" s="86">
        <f t="shared" si="5"/>
        <v>38</v>
      </c>
      <c r="AC20" s="87">
        <f t="shared" si="5"/>
        <v>0</v>
      </c>
      <c r="AD20" s="86">
        <f t="shared" si="5"/>
        <v>0</v>
      </c>
      <c r="AE20" s="86">
        <f t="shared" si="5"/>
        <v>0</v>
      </c>
      <c r="AF20" s="86">
        <f t="shared" si="5"/>
        <v>0</v>
      </c>
      <c r="AG20" s="86">
        <f t="shared" si="5"/>
        <v>0</v>
      </c>
      <c r="AH20" s="86">
        <f t="shared" si="5"/>
        <v>0</v>
      </c>
      <c r="AI20" s="86">
        <f t="shared" si="5"/>
        <v>0</v>
      </c>
      <c r="AJ20" s="86">
        <f t="shared" si="5"/>
        <v>0</v>
      </c>
      <c r="AK20" s="86">
        <f t="shared" si="5"/>
        <v>0</v>
      </c>
      <c r="AL20" s="88">
        <f t="shared" si="5"/>
        <v>0</v>
      </c>
      <c r="AM20" s="75"/>
      <c r="AN20" s="21"/>
      <c r="AO20" s="75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</row>
    <row r="21" ht="12.75" customHeight="1">
      <c r="A21" s="78" t="str">
        <f>Drivers!AN19</f>
        <v>Kilhefner (3)</v>
      </c>
      <c r="B21" s="79" t="str">
        <f>Drivers!AO19</f>
        <v>Blaney</v>
      </c>
      <c r="C21" s="80">
        <f>Drivers!C15</f>
        <v>27</v>
      </c>
      <c r="D21" s="80">
        <f>Drivers!D15</f>
        <v>31</v>
      </c>
      <c r="E21" s="80">
        <f>Drivers!E15</f>
        <v>33</v>
      </c>
      <c r="F21" s="80">
        <f>Drivers!F15</f>
        <v>65</v>
      </c>
      <c r="G21" s="80">
        <f>Drivers!G15</f>
        <v>23</v>
      </c>
      <c r="H21" s="80">
        <f>Drivers!H15</f>
        <v>42</v>
      </c>
      <c r="I21" s="80">
        <f>Drivers!I15</f>
        <v>41</v>
      </c>
      <c r="J21" s="80">
        <f>Drivers!J15</f>
        <v>53</v>
      </c>
      <c r="K21" s="80">
        <f>Drivers!K15</f>
        <v>13</v>
      </c>
      <c r="L21" s="80">
        <f>Drivers!L15</f>
        <v>7</v>
      </c>
      <c r="M21" s="80">
        <f>Drivers!M15</f>
        <v>27</v>
      </c>
      <c r="N21" s="80">
        <f>Drivers!N15</f>
        <v>34</v>
      </c>
      <c r="O21" s="80">
        <f>Drivers!O15</f>
        <v>41</v>
      </c>
      <c r="P21" s="80">
        <f>Drivers!P15</f>
        <v>37</v>
      </c>
      <c r="Q21" s="80">
        <f>Drivers!Q15</f>
        <v>29</v>
      </c>
      <c r="R21" s="80">
        <f>Drivers!R15</f>
        <v>27</v>
      </c>
      <c r="S21" s="80">
        <f>Drivers!S15</f>
        <v>44</v>
      </c>
      <c r="T21" s="80">
        <f>Drivers!T15</f>
        <v>32</v>
      </c>
      <c r="U21" s="80">
        <f>Drivers!U15</f>
        <v>36</v>
      </c>
      <c r="V21" s="80">
        <f>Drivers!V15</f>
        <v>75</v>
      </c>
      <c r="W21" s="80">
        <f>Drivers!W15</f>
        <v>29</v>
      </c>
      <c r="X21" s="80">
        <f>Drivers!X15</f>
        <v>11</v>
      </c>
      <c r="Y21" s="80">
        <f>Drivers!Y15</f>
        <v>47</v>
      </c>
      <c r="Z21" s="80">
        <f>Drivers!Z15</f>
        <v>40</v>
      </c>
      <c r="AA21" s="80">
        <f>Drivers!AA15</f>
        <v>70</v>
      </c>
      <c r="AB21" s="80">
        <f>Drivers!AB15</f>
        <v>14</v>
      </c>
      <c r="AC21" s="80" t="str">
        <f>Drivers!AC15</f>
        <v/>
      </c>
      <c r="AD21" s="80" t="str">
        <f>Drivers!AD15</f>
        <v/>
      </c>
      <c r="AE21" s="80" t="str">
        <f>Drivers!AE15</f>
        <v/>
      </c>
      <c r="AF21" s="80" t="str">
        <f>Drivers!AF15</f>
        <v/>
      </c>
      <c r="AG21" s="80" t="str">
        <f>Drivers!AG15</f>
        <v/>
      </c>
      <c r="AH21" s="80" t="str">
        <f>Drivers!AH15</f>
        <v/>
      </c>
      <c r="AI21" s="80" t="str">
        <f>Drivers!AI15</f>
        <v/>
      </c>
      <c r="AJ21" s="80" t="str">
        <f>Drivers!AJ15</f>
        <v/>
      </c>
      <c r="AK21" s="80" t="str">
        <f>Drivers!AK15</f>
        <v/>
      </c>
      <c r="AL21" s="80" t="str">
        <f>Drivers!AL15</f>
        <v/>
      </c>
      <c r="AM21" s="81">
        <f>SUM(C23:AL23)</f>
        <v>1353</v>
      </c>
      <c r="AN21" s="82">
        <f>RANK($AM$6:$AM$35,$AM$6:$AM$35,1&gt;10)</f>
        <v>5</v>
      </c>
      <c r="AO21" s="63">
        <f>AVERAGE(C23:AL23)</f>
        <v>37.58333333</v>
      </c>
      <c r="AP21" s="9"/>
      <c r="AQ21" s="76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</row>
    <row r="22" ht="12.75" customHeight="1">
      <c r="A22" s="64"/>
      <c r="B22" s="83" t="str">
        <f>Drivers!AO20</f>
        <v>Chastain</v>
      </c>
      <c r="C22" s="65">
        <f>Drivers!C36</f>
        <v>3</v>
      </c>
      <c r="D22" s="65">
        <f>Drivers!D36</f>
        <v>14</v>
      </c>
      <c r="E22" s="65">
        <f>Drivers!E36</f>
        <v>5</v>
      </c>
      <c r="F22" s="65">
        <f>Drivers!F46</f>
        <v>26</v>
      </c>
      <c r="G22" s="91">
        <f>Drivers!G46</f>
        <v>1</v>
      </c>
      <c r="H22" s="65">
        <f>Drivers!H46</f>
        <v>23</v>
      </c>
      <c r="I22" s="65">
        <f>Drivers!I46</f>
        <v>34</v>
      </c>
      <c r="J22" s="65">
        <f>Drivers!J46</f>
        <v>3</v>
      </c>
      <c r="K22" s="65">
        <f>Drivers!K9</f>
        <v>35</v>
      </c>
      <c r="L22" s="65">
        <f>Drivers!L9</f>
        <v>15</v>
      </c>
      <c r="M22" s="65">
        <f>Drivers!M9</f>
        <v>32</v>
      </c>
      <c r="N22" s="65">
        <f>Drivers!N9</f>
        <v>7</v>
      </c>
      <c r="O22" s="65">
        <f>Drivers!O9</f>
        <v>25</v>
      </c>
      <c r="P22" s="65">
        <f>Drivers!P9</f>
        <v>4</v>
      </c>
      <c r="Q22" s="65">
        <f>Drivers!Q9</f>
        <v>3</v>
      </c>
      <c r="R22" s="65">
        <f>Drivers!R9</f>
        <v>1</v>
      </c>
      <c r="S22" s="65">
        <f>Drivers!S9</f>
        <v>3</v>
      </c>
      <c r="T22" s="65">
        <f>Drivers!T4</f>
        <v>29</v>
      </c>
      <c r="U22" s="65">
        <f>Drivers!U4</f>
        <v>19</v>
      </c>
      <c r="V22" s="65">
        <f>Drivers!V4</f>
        <v>26</v>
      </c>
      <c r="W22" s="65">
        <f>Drivers!W4</f>
        <v>11</v>
      </c>
      <c r="X22" s="65">
        <f>Drivers!X4</f>
        <v>24</v>
      </c>
      <c r="Y22" s="65">
        <f>Drivers!Y4</f>
        <v>43</v>
      </c>
      <c r="Z22" s="65">
        <f>Drivers!Z4</f>
        <v>25</v>
      </c>
      <c r="AA22" s="65">
        <f>Drivers!AA4</f>
        <v>1</v>
      </c>
      <c r="AB22" s="65">
        <f>Drivers!AB4</f>
        <v>13</v>
      </c>
      <c r="AC22" s="65" t="str">
        <f>Drivers!AC4</f>
        <v/>
      </c>
      <c r="AD22" s="65" t="str">
        <f>Drivers!AD4</f>
        <v/>
      </c>
      <c r="AE22" s="65" t="str">
        <f>Drivers!AE4</f>
        <v/>
      </c>
      <c r="AF22" s="65" t="str">
        <f>Drivers!AF4</f>
        <v/>
      </c>
      <c r="AG22" s="65" t="str">
        <f>Drivers!AG4</f>
        <v/>
      </c>
      <c r="AH22" s="65" t="str">
        <f>Drivers!AH4</f>
        <v/>
      </c>
      <c r="AI22" s="65" t="str">
        <f>Drivers!AI4</f>
        <v/>
      </c>
      <c r="AJ22" s="65" t="str">
        <f>Drivers!AJ4</f>
        <v/>
      </c>
      <c r="AK22" s="65" t="str">
        <f>Drivers!AK4</f>
        <v/>
      </c>
      <c r="AL22" s="65" t="str">
        <f>Drivers!AL4</f>
        <v/>
      </c>
      <c r="AM22" s="16"/>
      <c r="AN22" s="16"/>
      <c r="AO22" s="16"/>
      <c r="AP22" s="9"/>
      <c r="AQ22" s="76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</row>
    <row r="23" ht="13.5" customHeight="1">
      <c r="A23" s="68"/>
      <c r="B23" s="85"/>
      <c r="C23" s="86">
        <f t="shared" ref="C23:AL23" si="6">SUM(C21+C22)</f>
        <v>30</v>
      </c>
      <c r="D23" s="86">
        <f t="shared" si="6"/>
        <v>45</v>
      </c>
      <c r="E23" s="86">
        <f t="shared" si="6"/>
        <v>38</v>
      </c>
      <c r="F23" s="86">
        <f t="shared" si="6"/>
        <v>91</v>
      </c>
      <c r="G23" s="86">
        <f t="shared" si="6"/>
        <v>24</v>
      </c>
      <c r="H23" s="86">
        <f t="shared" si="6"/>
        <v>65</v>
      </c>
      <c r="I23" s="86">
        <f t="shared" si="6"/>
        <v>75</v>
      </c>
      <c r="J23" s="86">
        <f t="shared" si="6"/>
        <v>56</v>
      </c>
      <c r="K23" s="86">
        <f t="shared" si="6"/>
        <v>48</v>
      </c>
      <c r="L23" s="87">
        <f t="shared" si="6"/>
        <v>22</v>
      </c>
      <c r="M23" s="86">
        <f t="shared" si="6"/>
        <v>59</v>
      </c>
      <c r="N23" s="86">
        <f t="shared" si="6"/>
        <v>41</v>
      </c>
      <c r="O23" s="86">
        <f t="shared" si="6"/>
        <v>66</v>
      </c>
      <c r="P23" s="86">
        <f t="shared" si="6"/>
        <v>41</v>
      </c>
      <c r="Q23" s="86">
        <f t="shared" si="6"/>
        <v>32</v>
      </c>
      <c r="R23" s="86">
        <f t="shared" si="6"/>
        <v>28</v>
      </c>
      <c r="S23" s="86">
        <f t="shared" si="6"/>
        <v>47</v>
      </c>
      <c r="T23" s="86">
        <f t="shared" si="6"/>
        <v>61</v>
      </c>
      <c r="U23" s="86">
        <f t="shared" si="6"/>
        <v>55</v>
      </c>
      <c r="V23" s="86">
        <f t="shared" si="6"/>
        <v>101</v>
      </c>
      <c r="W23" s="86">
        <f t="shared" si="6"/>
        <v>40</v>
      </c>
      <c r="X23" s="86">
        <f t="shared" si="6"/>
        <v>35</v>
      </c>
      <c r="Y23" s="86">
        <f t="shared" si="6"/>
        <v>90</v>
      </c>
      <c r="Z23" s="86">
        <f t="shared" si="6"/>
        <v>65</v>
      </c>
      <c r="AA23" s="86">
        <f t="shared" si="6"/>
        <v>71</v>
      </c>
      <c r="AB23" s="86">
        <f t="shared" si="6"/>
        <v>27</v>
      </c>
      <c r="AC23" s="87">
        <f t="shared" si="6"/>
        <v>0</v>
      </c>
      <c r="AD23" s="86">
        <f t="shared" si="6"/>
        <v>0</v>
      </c>
      <c r="AE23" s="86">
        <f t="shared" si="6"/>
        <v>0</v>
      </c>
      <c r="AF23" s="86">
        <f t="shared" si="6"/>
        <v>0</v>
      </c>
      <c r="AG23" s="86">
        <f t="shared" si="6"/>
        <v>0</v>
      </c>
      <c r="AH23" s="86">
        <f t="shared" si="6"/>
        <v>0</v>
      </c>
      <c r="AI23" s="86">
        <f t="shared" si="6"/>
        <v>0</v>
      </c>
      <c r="AJ23" s="86">
        <f t="shared" si="6"/>
        <v>0</v>
      </c>
      <c r="AK23" s="86">
        <f t="shared" si="6"/>
        <v>0</v>
      </c>
      <c r="AL23" s="88">
        <f t="shared" si="6"/>
        <v>0</v>
      </c>
      <c r="AM23" s="75"/>
      <c r="AN23" s="75"/>
      <c r="AO23" s="75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</row>
    <row r="24" ht="12.75" customHeight="1">
      <c r="A24" s="78" t="str">
        <f>Drivers!AN22</f>
        <v>Dani(1)</v>
      </c>
      <c r="B24" s="79" t="str">
        <f>Drivers!AO22</f>
        <v>Larson</v>
      </c>
      <c r="C24" s="80">
        <f>Drivers!C8</f>
        <v>21</v>
      </c>
      <c r="D24" s="80">
        <f>Drivers!D8</f>
        <v>13</v>
      </c>
      <c r="E24" s="80">
        <f>Drivers!E8</f>
        <v>31</v>
      </c>
      <c r="F24" s="80">
        <f>Drivers!F8</f>
        <v>36</v>
      </c>
      <c r="G24" s="80">
        <f>Drivers!G8</f>
        <v>48</v>
      </c>
      <c r="H24" s="80">
        <f>Drivers!H8</f>
        <v>19</v>
      </c>
      <c r="I24" s="80">
        <f>Drivers!I8</f>
        <v>30</v>
      </c>
      <c r="J24" s="80">
        <f>Drivers!J8</f>
        <v>54</v>
      </c>
      <c r="K24" s="80">
        <f>Drivers!K8</f>
        <v>54</v>
      </c>
      <c r="L24" s="80">
        <f>Drivers!L8</f>
        <v>1</v>
      </c>
      <c r="M24" s="80">
        <f>Drivers!M8</f>
        <v>3</v>
      </c>
      <c r="N24" s="80">
        <f>Drivers!N8</f>
        <v>14</v>
      </c>
      <c r="O24" s="80">
        <f>Drivers!O8</f>
        <v>54</v>
      </c>
      <c r="P24" s="80">
        <f>Drivers!P8</f>
        <v>23</v>
      </c>
      <c r="Q24" s="80">
        <f>Drivers!Q8</f>
        <v>44</v>
      </c>
      <c r="R24" s="80">
        <f>Drivers!R8</f>
        <v>24</v>
      </c>
      <c r="S24" s="80">
        <f>Drivers!S8</f>
        <v>42</v>
      </c>
      <c r="T24" s="80">
        <f>Drivers!T8</f>
        <v>35</v>
      </c>
      <c r="U24" s="80">
        <f>Drivers!U8</f>
        <v>12</v>
      </c>
      <c r="V24" s="80">
        <f>Drivers!V8</f>
        <v>11</v>
      </c>
      <c r="W24" s="80">
        <f>Drivers!W8</f>
        <v>22</v>
      </c>
      <c r="X24" s="80">
        <f>Drivers!X8</f>
        <v>1</v>
      </c>
      <c r="Y24" s="80">
        <f>Drivers!Y8</f>
        <v>12</v>
      </c>
      <c r="Z24" s="80">
        <f>Drivers!Z8</f>
        <v>31</v>
      </c>
      <c r="AA24" s="80">
        <f>Drivers!AA8</f>
        <v>48</v>
      </c>
      <c r="AB24" s="80">
        <f>Drivers!AB8</f>
        <v>16</v>
      </c>
      <c r="AC24" s="80" t="str">
        <f>Drivers!AC8</f>
        <v/>
      </c>
      <c r="AD24" s="80" t="str">
        <f>Drivers!AD8</f>
        <v/>
      </c>
      <c r="AE24" s="80" t="str">
        <f>Drivers!AE8</f>
        <v/>
      </c>
      <c r="AF24" s="80" t="str">
        <f>Drivers!AF8</f>
        <v/>
      </c>
      <c r="AG24" s="80" t="str">
        <f>Drivers!AG8</f>
        <v/>
      </c>
      <c r="AH24" s="80" t="str">
        <f>Drivers!AH8</f>
        <v/>
      </c>
      <c r="AI24" s="80" t="str">
        <f>Drivers!AI8</f>
        <v/>
      </c>
      <c r="AJ24" s="80" t="str">
        <f>Drivers!AJ8</f>
        <v/>
      </c>
      <c r="AK24" s="80" t="str">
        <f>Drivers!AK8</f>
        <v/>
      </c>
      <c r="AL24" s="80" t="str">
        <f>Drivers!AL8</f>
        <v/>
      </c>
      <c r="AM24" s="61">
        <f>SUM(C26:AL26)</f>
        <v>1271</v>
      </c>
      <c r="AN24" s="89">
        <f>RANK($AM$6:$AM$35,$AM$6:$AM$35,1&gt;10)</f>
        <v>7</v>
      </c>
      <c r="AO24" s="63">
        <f>AVERAGE(C26:AL26)</f>
        <v>35.30555556</v>
      </c>
      <c r="AP24" s="9"/>
      <c r="AQ24" s="76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ht="12.75" customHeight="1">
      <c r="A25" s="64"/>
      <c r="B25" s="83" t="str">
        <f>Drivers!AO23</f>
        <v>Bubba</v>
      </c>
      <c r="C25" s="65">
        <f>Drivers!C5</f>
        <v>12</v>
      </c>
      <c r="D25" s="65">
        <f>Drivers!D5</f>
        <v>21</v>
      </c>
      <c r="E25" s="65">
        <f>Drivers!E5</f>
        <v>5</v>
      </c>
      <c r="F25" s="65">
        <f>Drivers!F23</f>
        <v>37</v>
      </c>
      <c r="G25" s="91">
        <f>Drivers!G23</f>
        <v>41</v>
      </c>
      <c r="H25" s="65">
        <f>Drivers!H23</f>
        <v>10</v>
      </c>
      <c r="I25" s="65">
        <f>Drivers!I23</f>
        <v>1</v>
      </c>
      <c r="J25" s="65">
        <f>Drivers!J23</f>
        <v>30</v>
      </c>
      <c r="K25" s="65">
        <f>Drivers!K23</f>
        <v>39</v>
      </c>
      <c r="L25" s="65">
        <f>Drivers!L23</f>
        <v>1</v>
      </c>
      <c r="M25" s="65">
        <f>Drivers!M23</f>
        <v>28</v>
      </c>
      <c r="N25" s="65">
        <f>Drivers!N23</f>
        <v>9</v>
      </c>
      <c r="O25" s="65">
        <f>Drivers!O23</f>
        <v>15</v>
      </c>
      <c r="P25" s="65">
        <f>Drivers!P23</f>
        <v>10</v>
      </c>
      <c r="Q25" s="65">
        <f>Drivers!Q23</f>
        <v>40</v>
      </c>
      <c r="R25" s="65">
        <f>Drivers!R23</f>
        <v>16</v>
      </c>
      <c r="S25" s="65">
        <f>Drivers!S23</f>
        <v>35</v>
      </c>
      <c r="T25" s="65">
        <f>Drivers!T23</f>
        <v>15</v>
      </c>
      <c r="U25" s="65">
        <f>Drivers!U23</f>
        <v>40</v>
      </c>
      <c r="V25" s="65">
        <f>Drivers!V23</f>
        <v>9</v>
      </c>
      <c r="W25" s="65">
        <f>Drivers!W23</f>
        <v>38</v>
      </c>
      <c r="X25" s="65">
        <f>Drivers!X23</f>
        <v>9</v>
      </c>
      <c r="Y25" s="65">
        <f>Drivers!Y23</f>
        <v>25</v>
      </c>
      <c r="Z25" s="65">
        <f>Drivers!Z23</f>
        <v>22</v>
      </c>
      <c r="AA25" s="65">
        <f>Drivers!AA23</f>
        <v>43</v>
      </c>
      <c r="AB25" s="65">
        <f>Drivers!AB23</f>
        <v>21</v>
      </c>
      <c r="AC25" s="65" t="str">
        <f>Drivers!AC23</f>
        <v/>
      </c>
      <c r="AD25" s="65" t="str">
        <f>Drivers!AD23</f>
        <v/>
      </c>
      <c r="AE25" s="65" t="str">
        <f>Drivers!AE23</f>
        <v/>
      </c>
      <c r="AF25" s="65" t="str">
        <f>Drivers!AF23</f>
        <v/>
      </c>
      <c r="AG25" s="65" t="str">
        <f>Drivers!AG23</f>
        <v/>
      </c>
      <c r="AH25" s="65" t="str">
        <f>Drivers!AH23</f>
        <v/>
      </c>
      <c r="AI25" s="65" t="str">
        <f>Drivers!AI23</f>
        <v/>
      </c>
      <c r="AJ25" s="65" t="str">
        <f>Drivers!AJ23</f>
        <v/>
      </c>
      <c r="AK25" s="65" t="str">
        <f>Drivers!AK23</f>
        <v/>
      </c>
      <c r="AL25" s="65" t="str">
        <f>Drivers!AL23</f>
        <v/>
      </c>
      <c r="AM25" s="16"/>
      <c r="AN25" s="16"/>
      <c r="AO25" s="16"/>
      <c r="AP25" s="9"/>
      <c r="AQ25" s="76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</row>
    <row r="26" ht="13.5" customHeight="1">
      <c r="A26" s="68"/>
      <c r="B26" s="90"/>
      <c r="C26" s="86">
        <f t="shared" ref="C26:AL26" si="7">SUM(C24+C25)</f>
        <v>33</v>
      </c>
      <c r="D26" s="86">
        <f t="shared" si="7"/>
        <v>34</v>
      </c>
      <c r="E26" s="86">
        <f t="shared" si="7"/>
        <v>36</v>
      </c>
      <c r="F26" s="86">
        <f t="shared" si="7"/>
        <v>73</v>
      </c>
      <c r="G26" s="86">
        <f t="shared" si="7"/>
        <v>89</v>
      </c>
      <c r="H26" s="86">
        <f t="shared" si="7"/>
        <v>29</v>
      </c>
      <c r="I26" s="86">
        <f t="shared" si="7"/>
        <v>31</v>
      </c>
      <c r="J26" s="86">
        <f t="shared" si="7"/>
        <v>84</v>
      </c>
      <c r="K26" s="86">
        <f t="shared" si="7"/>
        <v>93</v>
      </c>
      <c r="L26" s="87">
        <f t="shared" si="7"/>
        <v>2</v>
      </c>
      <c r="M26" s="86">
        <f t="shared" si="7"/>
        <v>31</v>
      </c>
      <c r="N26" s="86">
        <f t="shared" si="7"/>
        <v>23</v>
      </c>
      <c r="O26" s="86">
        <f t="shared" si="7"/>
        <v>69</v>
      </c>
      <c r="P26" s="86">
        <f t="shared" si="7"/>
        <v>33</v>
      </c>
      <c r="Q26" s="86">
        <f t="shared" si="7"/>
        <v>84</v>
      </c>
      <c r="R26" s="86">
        <f t="shared" si="7"/>
        <v>40</v>
      </c>
      <c r="S26" s="86">
        <f t="shared" si="7"/>
        <v>77</v>
      </c>
      <c r="T26" s="86">
        <f t="shared" si="7"/>
        <v>50</v>
      </c>
      <c r="U26" s="86">
        <f t="shared" si="7"/>
        <v>52</v>
      </c>
      <c r="V26" s="86">
        <f t="shared" si="7"/>
        <v>20</v>
      </c>
      <c r="W26" s="86">
        <f t="shared" si="7"/>
        <v>60</v>
      </c>
      <c r="X26" s="86">
        <f t="shared" si="7"/>
        <v>10</v>
      </c>
      <c r="Y26" s="86">
        <f t="shared" si="7"/>
        <v>37</v>
      </c>
      <c r="Z26" s="86">
        <f t="shared" si="7"/>
        <v>53</v>
      </c>
      <c r="AA26" s="86">
        <f t="shared" si="7"/>
        <v>91</v>
      </c>
      <c r="AB26" s="86">
        <f t="shared" si="7"/>
        <v>37</v>
      </c>
      <c r="AC26" s="87">
        <f t="shared" si="7"/>
        <v>0</v>
      </c>
      <c r="AD26" s="86">
        <f t="shared" si="7"/>
        <v>0</v>
      </c>
      <c r="AE26" s="86">
        <f t="shared" si="7"/>
        <v>0</v>
      </c>
      <c r="AF26" s="86">
        <f t="shared" si="7"/>
        <v>0</v>
      </c>
      <c r="AG26" s="86">
        <f t="shared" si="7"/>
        <v>0</v>
      </c>
      <c r="AH26" s="86">
        <f t="shared" si="7"/>
        <v>0</v>
      </c>
      <c r="AI26" s="86">
        <f t="shared" si="7"/>
        <v>0</v>
      </c>
      <c r="AJ26" s="86">
        <f t="shared" si="7"/>
        <v>0</v>
      </c>
      <c r="AK26" s="86">
        <f t="shared" si="7"/>
        <v>0</v>
      </c>
      <c r="AL26" s="88">
        <f t="shared" si="7"/>
        <v>0</v>
      </c>
      <c r="AM26" s="21"/>
      <c r="AN26" s="21"/>
      <c r="AO26" s="75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</row>
    <row r="27" ht="12.75" customHeight="1">
      <c r="A27" s="78">
        <f>Drivers!AN25</f>
        <v>8</v>
      </c>
      <c r="B27" s="92" t="str">
        <f>Drivers!AO25</f>
        <v>A</v>
      </c>
      <c r="C27" s="80"/>
      <c r="D27" s="80"/>
      <c r="E27" s="80"/>
      <c r="F27" s="80"/>
      <c r="G27" s="80"/>
      <c r="H27" s="80"/>
      <c r="I27" s="80"/>
      <c r="J27" s="80"/>
      <c r="K27" s="80"/>
      <c r="L27" s="93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5"/>
      <c r="AD27" s="94"/>
      <c r="AE27" s="94"/>
      <c r="AF27" s="96"/>
      <c r="AG27" s="96"/>
      <c r="AH27" s="96"/>
      <c r="AI27" s="96"/>
      <c r="AJ27" s="94"/>
      <c r="AK27" s="94"/>
      <c r="AL27" s="97"/>
      <c r="AM27" s="81">
        <f>SUM(C29:AL29)</f>
        <v>0</v>
      </c>
      <c r="AN27" s="82">
        <f>RANK($AM$6:$AM$35,$AM$6:$AM$35,1&gt;10)</f>
        <v>8</v>
      </c>
      <c r="AO27" s="63">
        <f>AVERAGE(C29:AL29)</f>
        <v>0</v>
      </c>
      <c r="AP27" s="9"/>
      <c r="AQ27" s="76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ht="12.75" customHeight="1">
      <c r="A28" s="64"/>
      <c r="B28" s="55" t="str">
        <f>Drivers!AO26</f>
        <v>B</v>
      </c>
      <c r="C28" s="65"/>
      <c r="D28" s="65"/>
      <c r="E28" s="65"/>
      <c r="F28" s="65"/>
      <c r="G28" s="65"/>
      <c r="H28" s="65"/>
      <c r="I28" s="65"/>
      <c r="J28" s="65"/>
      <c r="K28" s="65"/>
      <c r="L28" s="98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100"/>
      <c r="AD28" s="99"/>
      <c r="AE28" s="99"/>
      <c r="AF28" s="101"/>
      <c r="AG28" s="101"/>
      <c r="AH28" s="101"/>
      <c r="AI28" s="101"/>
      <c r="AJ28" s="99"/>
      <c r="AK28" s="99"/>
      <c r="AL28" s="102"/>
      <c r="AM28" s="16"/>
      <c r="AN28" s="16"/>
      <c r="AO28" s="16"/>
      <c r="AP28" s="9"/>
      <c r="AQ28" s="76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ht="13.5" customHeight="1">
      <c r="A29" s="68"/>
      <c r="B29" s="90"/>
      <c r="C29" s="86">
        <f t="shared" ref="C29:AL29" si="8">SUM(C27+C28)</f>
        <v>0</v>
      </c>
      <c r="D29" s="86">
        <f t="shared" si="8"/>
        <v>0</v>
      </c>
      <c r="E29" s="86">
        <f t="shared" si="8"/>
        <v>0</v>
      </c>
      <c r="F29" s="86">
        <f t="shared" si="8"/>
        <v>0</v>
      </c>
      <c r="G29" s="86">
        <f t="shared" si="8"/>
        <v>0</v>
      </c>
      <c r="H29" s="86">
        <f t="shared" si="8"/>
        <v>0</v>
      </c>
      <c r="I29" s="86">
        <f t="shared" si="8"/>
        <v>0</v>
      </c>
      <c r="J29" s="86">
        <f t="shared" si="8"/>
        <v>0</v>
      </c>
      <c r="K29" s="86">
        <f t="shared" si="8"/>
        <v>0</v>
      </c>
      <c r="L29" s="87">
        <f t="shared" si="8"/>
        <v>0</v>
      </c>
      <c r="M29" s="86">
        <f t="shared" si="8"/>
        <v>0</v>
      </c>
      <c r="N29" s="86">
        <f t="shared" si="8"/>
        <v>0</v>
      </c>
      <c r="O29" s="86">
        <f t="shared" si="8"/>
        <v>0</v>
      </c>
      <c r="P29" s="86">
        <f t="shared" si="8"/>
        <v>0</v>
      </c>
      <c r="Q29" s="86">
        <f t="shared" si="8"/>
        <v>0</v>
      </c>
      <c r="R29" s="86">
        <f t="shared" si="8"/>
        <v>0</v>
      </c>
      <c r="S29" s="86">
        <f t="shared" si="8"/>
        <v>0</v>
      </c>
      <c r="T29" s="86">
        <f t="shared" si="8"/>
        <v>0</v>
      </c>
      <c r="U29" s="86">
        <f t="shared" si="8"/>
        <v>0</v>
      </c>
      <c r="V29" s="86">
        <f t="shared" si="8"/>
        <v>0</v>
      </c>
      <c r="W29" s="86">
        <f t="shared" si="8"/>
        <v>0</v>
      </c>
      <c r="X29" s="86">
        <f t="shared" si="8"/>
        <v>0</v>
      </c>
      <c r="Y29" s="86">
        <f t="shared" si="8"/>
        <v>0</v>
      </c>
      <c r="Z29" s="86">
        <f t="shared" si="8"/>
        <v>0</v>
      </c>
      <c r="AA29" s="86">
        <f t="shared" si="8"/>
        <v>0</v>
      </c>
      <c r="AB29" s="86">
        <f t="shared" si="8"/>
        <v>0</v>
      </c>
      <c r="AC29" s="87">
        <f t="shared" si="8"/>
        <v>0</v>
      </c>
      <c r="AD29" s="86">
        <f t="shared" si="8"/>
        <v>0</v>
      </c>
      <c r="AE29" s="86">
        <f t="shared" si="8"/>
        <v>0</v>
      </c>
      <c r="AF29" s="86">
        <f t="shared" si="8"/>
        <v>0</v>
      </c>
      <c r="AG29" s="86">
        <f t="shared" si="8"/>
        <v>0</v>
      </c>
      <c r="AH29" s="86">
        <f t="shared" si="8"/>
        <v>0</v>
      </c>
      <c r="AI29" s="86">
        <f t="shared" si="8"/>
        <v>0</v>
      </c>
      <c r="AJ29" s="86">
        <f t="shared" si="8"/>
        <v>0</v>
      </c>
      <c r="AK29" s="86">
        <f t="shared" si="8"/>
        <v>0</v>
      </c>
      <c r="AL29" s="88">
        <f t="shared" si="8"/>
        <v>0</v>
      </c>
      <c r="AM29" s="21"/>
      <c r="AN29" s="75"/>
      <c r="AO29" s="75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</row>
    <row r="30" ht="12.75" customHeight="1">
      <c r="A30" s="103">
        <f>Drivers!AN28</f>
        <v>9</v>
      </c>
      <c r="B30" s="79" t="str">
        <f>Drivers!AO28</f>
        <v>A</v>
      </c>
      <c r="C30" s="80"/>
      <c r="D30" s="80"/>
      <c r="E30" s="80"/>
      <c r="F30" s="80"/>
      <c r="G30" s="80"/>
      <c r="H30" s="80"/>
      <c r="I30" s="80"/>
      <c r="J30" s="80"/>
      <c r="K30" s="80"/>
      <c r="L30" s="93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4"/>
      <c r="AE30" s="104"/>
      <c r="AF30" s="106"/>
      <c r="AG30" s="106"/>
      <c r="AH30" s="106"/>
      <c r="AI30" s="106"/>
      <c r="AJ30" s="104"/>
      <c r="AK30" s="104"/>
      <c r="AL30" s="97"/>
      <c r="AM30" s="81">
        <f>SUM(C32:AL32)</f>
        <v>0</v>
      </c>
      <c r="AN30" s="82">
        <f>RANK($AM$6:$AM$35,$AM$6:$AM$35,1&gt;10)</f>
        <v>8</v>
      </c>
      <c r="AO30" s="63">
        <f>AVERAGE(C32:AL32)</f>
        <v>0</v>
      </c>
      <c r="AP30" s="9"/>
      <c r="AQ30" s="76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ht="12.75" customHeight="1">
      <c r="A31" s="64"/>
      <c r="B31" s="55" t="str">
        <f>Drivers!AO29</f>
        <v>B</v>
      </c>
      <c r="C31" s="65"/>
      <c r="D31" s="65"/>
      <c r="E31" s="65"/>
      <c r="F31" s="65"/>
      <c r="G31" s="65"/>
      <c r="H31" s="65"/>
      <c r="I31" s="65"/>
      <c r="J31" s="65"/>
      <c r="K31" s="65"/>
      <c r="L31" s="98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8"/>
      <c r="AD31" s="107"/>
      <c r="AE31" s="107"/>
      <c r="AF31" s="109"/>
      <c r="AG31" s="109"/>
      <c r="AH31" s="109"/>
      <c r="AI31" s="109"/>
      <c r="AJ31" s="107"/>
      <c r="AK31" s="107"/>
      <c r="AL31" s="102"/>
      <c r="AM31" s="16"/>
      <c r="AN31" s="16"/>
      <c r="AO31" s="16"/>
      <c r="AP31" s="9"/>
      <c r="AQ31" s="76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ht="12.75" customHeight="1">
      <c r="A32" s="110"/>
      <c r="B32" s="90"/>
      <c r="C32" s="86">
        <f t="shared" ref="C32:AL32" si="9">SUM(C30+C31)</f>
        <v>0</v>
      </c>
      <c r="D32" s="86">
        <f t="shared" si="9"/>
        <v>0</v>
      </c>
      <c r="E32" s="86">
        <f t="shared" si="9"/>
        <v>0</v>
      </c>
      <c r="F32" s="86">
        <f t="shared" si="9"/>
        <v>0</v>
      </c>
      <c r="G32" s="86">
        <f t="shared" si="9"/>
        <v>0</v>
      </c>
      <c r="H32" s="86">
        <f t="shared" si="9"/>
        <v>0</v>
      </c>
      <c r="I32" s="86">
        <f t="shared" si="9"/>
        <v>0</v>
      </c>
      <c r="J32" s="86">
        <f t="shared" si="9"/>
        <v>0</v>
      </c>
      <c r="K32" s="86">
        <f t="shared" si="9"/>
        <v>0</v>
      </c>
      <c r="L32" s="87">
        <f t="shared" si="9"/>
        <v>0</v>
      </c>
      <c r="M32" s="86">
        <f t="shared" si="9"/>
        <v>0</v>
      </c>
      <c r="N32" s="86">
        <f t="shared" si="9"/>
        <v>0</v>
      </c>
      <c r="O32" s="86">
        <f t="shared" si="9"/>
        <v>0</v>
      </c>
      <c r="P32" s="86">
        <f t="shared" si="9"/>
        <v>0</v>
      </c>
      <c r="Q32" s="86">
        <f t="shared" si="9"/>
        <v>0</v>
      </c>
      <c r="R32" s="86">
        <f t="shared" si="9"/>
        <v>0</v>
      </c>
      <c r="S32" s="86">
        <f t="shared" si="9"/>
        <v>0</v>
      </c>
      <c r="T32" s="86">
        <f t="shared" si="9"/>
        <v>0</v>
      </c>
      <c r="U32" s="86">
        <f t="shared" si="9"/>
        <v>0</v>
      </c>
      <c r="V32" s="86">
        <f t="shared" si="9"/>
        <v>0</v>
      </c>
      <c r="W32" s="86">
        <f t="shared" si="9"/>
        <v>0</v>
      </c>
      <c r="X32" s="86">
        <f t="shared" si="9"/>
        <v>0</v>
      </c>
      <c r="Y32" s="86">
        <f t="shared" si="9"/>
        <v>0</v>
      </c>
      <c r="Z32" s="86">
        <f t="shared" si="9"/>
        <v>0</v>
      </c>
      <c r="AA32" s="86">
        <f t="shared" si="9"/>
        <v>0</v>
      </c>
      <c r="AB32" s="86">
        <f t="shared" si="9"/>
        <v>0</v>
      </c>
      <c r="AC32" s="87">
        <f t="shared" si="9"/>
        <v>0</v>
      </c>
      <c r="AD32" s="86">
        <f t="shared" si="9"/>
        <v>0</v>
      </c>
      <c r="AE32" s="86">
        <f t="shared" si="9"/>
        <v>0</v>
      </c>
      <c r="AF32" s="86">
        <f t="shared" si="9"/>
        <v>0</v>
      </c>
      <c r="AG32" s="86">
        <f t="shared" si="9"/>
        <v>0</v>
      </c>
      <c r="AH32" s="86">
        <f t="shared" si="9"/>
        <v>0</v>
      </c>
      <c r="AI32" s="86">
        <f t="shared" si="9"/>
        <v>0</v>
      </c>
      <c r="AJ32" s="86">
        <f t="shared" si="9"/>
        <v>0</v>
      </c>
      <c r="AK32" s="86">
        <f t="shared" si="9"/>
        <v>0</v>
      </c>
      <c r="AL32" s="88">
        <f t="shared" si="9"/>
        <v>0</v>
      </c>
      <c r="AM32" s="75"/>
      <c r="AN32" s="75"/>
      <c r="AO32" s="75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</row>
    <row r="33" ht="12.75" customHeight="1">
      <c r="A33" s="78">
        <f>Drivers!AN31</f>
        <v>10</v>
      </c>
      <c r="B33" s="55" t="str">
        <f>Drivers!AO31</f>
        <v>A</v>
      </c>
      <c r="C33" s="57"/>
      <c r="D33" s="57"/>
      <c r="E33" s="57"/>
      <c r="F33" s="57"/>
      <c r="G33" s="57"/>
      <c r="H33" s="57"/>
      <c r="I33" s="57"/>
      <c r="J33" s="57"/>
      <c r="K33" s="57"/>
      <c r="L33" s="111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8"/>
      <c r="AD33" s="107"/>
      <c r="AE33" s="107"/>
      <c r="AF33" s="109"/>
      <c r="AG33" s="109"/>
      <c r="AH33" s="109"/>
      <c r="AI33" s="109"/>
      <c r="AJ33" s="107"/>
      <c r="AK33" s="107"/>
      <c r="AL33" s="102"/>
      <c r="AM33" s="61">
        <f>SUM(C35:AL35)</f>
        <v>0</v>
      </c>
      <c r="AN33" s="82">
        <f>RANK($AM$6:$AM$35,$AM$6:$AM$35,1&gt;10)</f>
        <v>8</v>
      </c>
      <c r="AO33" s="112"/>
      <c r="AP33" s="9"/>
      <c r="AQ33" s="76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</row>
    <row r="34" ht="12.75" customHeight="1">
      <c r="A34" s="64"/>
      <c r="B34" s="55" t="str">
        <f>Drivers!AO32</f>
        <v>B</v>
      </c>
      <c r="C34" s="65"/>
      <c r="D34" s="65"/>
      <c r="E34" s="65"/>
      <c r="F34" s="65"/>
      <c r="G34" s="65"/>
      <c r="H34" s="65"/>
      <c r="I34" s="65"/>
      <c r="J34" s="65"/>
      <c r="K34" s="65"/>
      <c r="L34" s="98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8"/>
      <c r="AD34" s="107"/>
      <c r="AE34" s="107"/>
      <c r="AF34" s="109"/>
      <c r="AG34" s="109"/>
      <c r="AH34" s="109"/>
      <c r="AI34" s="109"/>
      <c r="AJ34" s="107"/>
      <c r="AK34" s="107"/>
      <c r="AL34" s="102"/>
      <c r="AM34" s="16"/>
      <c r="AN34" s="16"/>
      <c r="AO34" s="16"/>
      <c r="AP34" s="9"/>
      <c r="AQ34" s="76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  <row r="35" ht="13.5" customHeight="1">
      <c r="A35" s="68"/>
      <c r="B35" s="113"/>
      <c r="C35" s="114">
        <f t="shared" ref="C35:AL35" si="10">SUM(C33+C34)</f>
        <v>0</v>
      </c>
      <c r="D35" s="114">
        <f t="shared" si="10"/>
        <v>0</v>
      </c>
      <c r="E35" s="114">
        <f t="shared" si="10"/>
        <v>0</v>
      </c>
      <c r="F35" s="114">
        <f t="shared" si="10"/>
        <v>0</v>
      </c>
      <c r="G35" s="114">
        <f t="shared" si="10"/>
        <v>0</v>
      </c>
      <c r="H35" s="114">
        <f t="shared" si="10"/>
        <v>0</v>
      </c>
      <c r="I35" s="114">
        <f t="shared" si="10"/>
        <v>0</v>
      </c>
      <c r="J35" s="114">
        <f t="shared" si="10"/>
        <v>0</v>
      </c>
      <c r="K35" s="114">
        <f t="shared" si="10"/>
        <v>0</v>
      </c>
      <c r="L35" s="115">
        <f t="shared" si="10"/>
        <v>0</v>
      </c>
      <c r="M35" s="114">
        <f t="shared" si="10"/>
        <v>0</v>
      </c>
      <c r="N35" s="114">
        <f t="shared" si="10"/>
        <v>0</v>
      </c>
      <c r="O35" s="114">
        <f t="shared" si="10"/>
        <v>0</v>
      </c>
      <c r="P35" s="114">
        <f t="shared" si="10"/>
        <v>0</v>
      </c>
      <c r="Q35" s="114">
        <f t="shared" si="10"/>
        <v>0</v>
      </c>
      <c r="R35" s="114">
        <f t="shared" si="10"/>
        <v>0</v>
      </c>
      <c r="S35" s="114">
        <f t="shared" si="10"/>
        <v>0</v>
      </c>
      <c r="T35" s="114">
        <f t="shared" si="10"/>
        <v>0</v>
      </c>
      <c r="U35" s="114">
        <f t="shared" si="10"/>
        <v>0</v>
      </c>
      <c r="V35" s="114">
        <f t="shared" si="10"/>
        <v>0</v>
      </c>
      <c r="W35" s="114">
        <f t="shared" si="10"/>
        <v>0</v>
      </c>
      <c r="X35" s="114">
        <f t="shared" si="10"/>
        <v>0</v>
      </c>
      <c r="Y35" s="114">
        <f t="shared" si="10"/>
        <v>0</v>
      </c>
      <c r="Z35" s="114">
        <f t="shared" si="10"/>
        <v>0</v>
      </c>
      <c r="AA35" s="114">
        <f t="shared" si="10"/>
        <v>0</v>
      </c>
      <c r="AB35" s="114">
        <f t="shared" si="10"/>
        <v>0</v>
      </c>
      <c r="AC35" s="115">
        <f t="shared" si="10"/>
        <v>0</v>
      </c>
      <c r="AD35" s="114">
        <f t="shared" si="10"/>
        <v>0</v>
      </c>
      <c r="AE35" s="114">
        <f t="shared" si="10"/>
        <v>0</v>
      </c>
      <c r="AF35" s="114">
        <f t="shared" si="10"/>
        <v>0</v>
      </c>
      <c r="AG35" s="114">
        <f t="shared" si="10"/>
        <v>0</v>
      </c>
      <c r="AH35" s="114">
        <f t="shared" si="10"/>
        <v>0</v>
      </c>
      <c r="AI35" s="114">
        <f t="shared" si="10"/>
        <v>0</v>
      </c>
      <c r="AJ35" s="114">
        <f t="shared" si="10"/>
        <v>0</v>
      </c>
      <c r="AK35" s="114">
        <f t="shared" si="10"/>
        <v>0</v>
      </c>
      <c r="AL35" s="116">
        <f t="shared" si="10"/>
        <v>0</v>
      </c>
      <c r="AM35" s="48"/>
      <c r="AN35" s="48"/>
      <c r="AO35" s="48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</row>
    <row r="36" ht="12.75" customHeight="1">
      <c r="A36" s="117"/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20"/>
      <c r="AG36" s="120"/>
      <c r="AH36" s="120"/>
      <c r="AI36" s="120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</row>
    <row r="37" ht="12.75" customHeight="1">
      <c r="A37" s="121"/>
      <c r="B37" s="118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20"/>
      <c r="AG37" s="120"/>
      <c r="AH37" s="120"/>
      <c r="AI37" s="120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</row>
    <row r="38" ht="12.75" customHeight="1">
      <c r="A38" s="121"/>
      <c r="B38" s="118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2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20"/>
      <c r="AG38" s="120"/>
      <c r="AH38" s="120"/>
      <c r="AI38" s="120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</row>
    <row r="39" ht="12.75" customHeight="1">
      <c r="A39" s="117"/>
      <c r="B39" s="123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20"/>
      <c r="AG39" s="120"/>
      <c r="AH39" s="120"/>
      <c r="AI39" s="120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</row>
    <row r="40" ht="12.75" customHeight="1">
      <c r="A40" s="121"/>
      <c r="B40" s="118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2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20"/>
      <c r="AG40" s="120"/>
      <c r="AH40" s="120"/>
      <c r="AI40" s="120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</row>
    <row r="41" ht="12.75" customHeight="1">
      <c r="A41" s="121"/>
      <c r="B41" s="118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12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20"/>
      <c r="AG41" s="120"/>
      <c r="AH41" s="120"/>
      <c r="AI41" s="120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</row>
    <row r="42" ht="12.75" customHeight="1">
      <c r="A42" s="117"/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2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20"/>
      <c r="AG42" s="120"/>
      <c r="AH42" s="120"/>
      <c r="AI42" s="120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</row>
    <row r="43" ht="12.75" customHeight="1">
      <c r="A43" s="121"/>
      <c r="B43" s="118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12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20"/>
      <c r="AG43" s="120"/>
      <c r="AH43" s="120"/>
      <c r="AI43" s="120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</row>
    <row r="44" ht="12.75" customHeight="1">
      <c r="A44" s="121"/>
      <c r="B44" s="118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20"/>
      <c r="AG44" s="120"/>
      <c r="AH44" s="120"/>
      <c r="AI44" s="120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</row>
    <row r="45" ht="12.75" customHeight="1">
      <c r="A45" s="117"/>
      <c r="B45" s="11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20"/>
      <c r="AG45" s="120"/>
      <c r="AH45" s="120"/>
      <c r="AI45" s="120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</row>
    <row r="46" ht="12.75" customHeight="1">
      <c r="A46" s="121"/>
      <c r="B46" s="118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20"/>
      <c r="AG46" s="120"/>
      <c r="AH46" s="120"/>
      <c r="AI46" s="120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</row>
    <row r="47" ht="12.75" customHeight="1">
      <c r="A47" s="121"/>
      <c r="B47" s="123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20"/>
      <c r="AG47" s="120"/>
      <c r="AH47" s="120"/>
      <c r="AI47" s="120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  <row r="48" ht="12.75" customHeight="1">
      <c r="A48" s="117"/>
      <c r="B48" s="11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20"/>
      <c r="AG48" s="120"/>
      <c r="AH48" s="120"/>
      <c r="AI48" s="120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</row>
    <row r="49" ht="12.75" customHeight="1">
      <c r="A49" s="121"/>
      <c r="B49" s="118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12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20"/>
      <c r="AG49" s="120"/>
      <c r="AH49" s="120"/>
      <c r="AI49" s="120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</row>
    <row r="50" ht="12.75" customHeight="1">
      <c r="A50" s="121"/>
      <c r="B50" s="118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20"/>
      <c r="AG50" s="120"/>
      <c r="AH50" s="120"/>
      <c r="AI50" s="120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</row>
    <row r="51" ht="12.75" customHeight="1">
      <c r="A51" s="117"/>
      <c r="B51" s="123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20"/>
      <c r="AG51" s="120"/>
      <c r="AH51" s="120"/>
      <c r="AI51" s="120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</row>
    <row r="52" ht="12.75" customHeight="1">
      <c r="A52" s="121"/>
      <c r="B52" s="118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20"/>
      <c r="AG52" s="120"/>
      <c r="AH52" s="120"/>
      <c r="AI52" s="120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</row>
    <row r="53" ht="12.75" customHeight="1">
      <c r="A53" s="121"/>
      <c r="B53" s="118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124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20"/>
      <c r="AG53" s="120"/>
      <c r="AH53" s="120"/>
      <c r="AI53" s="120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</row>
    <row r="54" ht="12.75" customHeight="1">
      <c r="A54" s="117"/>
      <c r="B54" s="118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5"/>
      <c r="AG54" s="125"/>
      <c r="AH54" s="125"/>
      <c r="AI54" s="125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</row>
    <row r="55" ht="12.75" customHeight="1">
      <c r="A55" s="121"/>
      <c r="B55" s="118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20"/>
      <c r="AG55" s="120"/>
      <c r="AH55" s="120"/>
      <c r="AI55" s="120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</row>
    <row r="56" ht="12.75" customHeight="1">
      <c r="A56" s="121"/>
      <c r="B56" s="118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20"/>
      <c r="AG56" s="120"/>
      <c r="AH56" s="120"/>
      <c r="AI56" s="120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</row>
    <row r="57" ht="12.75" customHeight="1">
      <c r="A57" s="117"/>
      <c r="B57" s="118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20"/>
      <c r="AG57" s="120"/>
      <c r="AH57" s="120"/>
      <c r="AI57" s="120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</row>
    <row r="58" ht="12.75" customHeight="1">
      <c r="A58" s="121"/>
      <c r="B58" s="118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20"/>
      <c r="AG58" s="120"/>
      <c r="AH58" s="120"/>
      <c r="AI58" s="120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</row>
    <row r="59" ht="12.75" customHeight="1">
      <c r="A59" s="121"/>
      <c r="B59" s="123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20"/>
      <c r="AG59" s="120"/>
      <c r="AH59" s="120"/>
      <c r="AI59" s="120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</row>
    <row r="60" ht="12.75" customHeight="1">
      <c r="A60" s="117"/>
      <c r="B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5"/>
      <c r="AG60" s="125"/>
      <c r="AH60" s="125"/>
      <c r="AI60" s="125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ht="12.75" customHeight="1">
      <c r="A61" s="121"/>
      <c r="B61" s="118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20"/>
      <c r="AG61" s="120"/>
      <c r="AH61" s="120"/>
      <c r="AI61" s="120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</row>
    <row r="62" ht="12.75" customHeight="1">
      <c r="A62" s="121"/>
      <c r="B62" s="118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20"/>
      <c r="AG62" s="120"/>
      <c r="AH62" s="120"/>
      <c r="AI62" s="120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</row>
    <row r="63" ht="12.75" customHeight="1">
      <c r="A63" s="117"/>
      <c r="B63" s="123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5"/>
      <c r="AG63" s="125"/>
      <c r="AH63" s="125"/>
      <c r="AI63" s="125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ht="12.75" customHeight="1">
      <c r="A64" s="121"/>
      <c r="B64" s="118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20"/>
      <c r="AG64" s="120"/>
      <c r="AH64" s="120"/>
      <c r="AI64" s="120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</row>
    <row r="65" ht="12.75" customHeight="1">
      <c r="A65" s="121"/>
      <c r="B65" s="118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122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20"/>
      <c r="AG65" s="120"/>
      <c r="AH65" s="120"/>
      <c r="AI65" s="120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</row>
    <row r="66" ht="12.75" customHeight="1">
      <c r="A66" s="117"/>
      <c r="B66" s="118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5"/>
      <c r="AG66" s="125"/>
      <c r="AH66" s="125"/>
      <c r="AI66" s="125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</row>
    <row r="67" ht="12.75" customHeight="1">
      <c r="A67" s="121"/>
      <c r="B67" s="118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20"/>
      <c r="AG67" s="120"/>
      <c r="AH67" s="120"/>
      <c r="AI67" s="120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</row>
    <row r="68" ht="12.75" customHeight="1">
      <c r="A68" s="121"/>
      <c r="B68" s="118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20"/>
      <c r="AG68" s="120"/>
      <c r="AH68" s="120"/>
      <c r="AI68" s="120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</row>
    <row r="69" ht="12.75" customHeight="1">
      <c r="A69" s="117"/>
      <c r="B69" s="118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5"/>
      <c r="AG69" s="125"/>
      <c r="AH69" s="125"/>
      <c r="AI69" s="125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</row>
    <row r="70" ht="12.75" customHeight="1">
      <c r="A70" s="121"/>
      <c r="B70" s="118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20"/>
      <c r="AG70" s="120"/>
      <c r="AH70" s="120"/>
      <c r="AI70" s="120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</row>
    <row r="71" ht="12.75" customHeight="1">
      <c r="A71" s="121"/>
      <c r="B71" s="118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20"/>
      <c r="AG71" s="120"/>
      <c r="AH71" s="120"/>
      <c r="AI71" s="120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</row>
    <row r="72" ht="12.75" customHeight="1">
      <c r="A72" s="117"/>
      <c r="B72" s="118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5"/>
      <c r="AG72" s="125"/>
      <c r="AH72" s="125"/>
      <c r="AI72" s="125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</row>
    <row r="73" ht="12.75" customHeight="1">
      <c r="A73" s="121"/>
      <c r="B73" s="118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20"/>
      <c r="AG73" s="120"/>
      <c r="AH73" s="120"/>
      <c r="AI73" s="120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</row>
    <row r="74" ht="12.75" customHeight="1">
      <c r="A74" s="121"/>
      <c r="B74" s="123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20"/>
      <c r="AG74" s="120"/>
      <c r="AH74" s="120"/>
      <c r="AI74" s="120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</row>
    <row r="75" ht="12.75" customHeight="1">
      <c r="A75" s="117"/>
      <c r="B75" s="118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5"/>
      <c r="AG75" s="125"/>
      <c r="AH75" s="125"/>
      <c r="AI75" s="125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</row>
    <row r="76" ht="12.75" customHeight="1">
      <c r="A76" s="121"/>
      <c r="B76" s="118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12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20"/>
      <c r="AG76" s="120"/>
      <c r="AH76" s="120"/>
      <c r="AI76" s="120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</row>
    <row r="77" ht="12.75" customHeight="1">
      <c r="A77" s="121"/>
      <c r="B77" s="118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20"/>
      <c r="AG77" s="120"/>
      <c r="AH77" s="120"/>
      <c r="AI77" s="120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</row>
    <row r="78" ht="12.75" customHeight="1">
      <c r="A78" s="117"/>
      <c r="B78" s="123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5"/>
      <c r="AG78" s="125"/>
      <c r="AH78" s="125"/>
      <c r="AI78" s="125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</row>
    <row r="79" ht="12.75" customHeight="1">
      <c r="A79" s="121"/>
      <c r="B79" s="118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0"/>
      <c r="AG79" s="120"/>
      <c r="AH79" s="120"/>
      <c r="AI79" s="120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</row>
    <row r="80" ht="12.75" customHeight="1">
      <c r="A80" s="121"/>
      <c r="B80" s="118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20"/>
      <c r="AG80" s="120"/>
      <c r="AH80" s="120"/>
      <c r="AI80" s="120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</row>
    <row r="81" ht="12.75" customHeight="1">
      <c r="A81" s="117"/>
      <c r="B81" s="118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5"/>
      <c r="AG81" s="125"/>
      <c r="AH81" s="125"/>
      <c r="AI81" s="125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</row>
    <row r="82" ht="12.75" customHeight="1">
      <c r="A82" s="121"/>
      <c r="B82" s="118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12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20"/>
      <c r="AG82" s="120"/>
      <c r="AH82" s="120"/>
      <c r="AI82" s="120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</row>
    <row r="83" ht="12.75" customHeight="1">
      <c r="A83" s="121"/>
      <c r="B83" s="118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20"/>
      <c r="AG83" s="120"/>
      <c r="AH83" s="120"/>
      <c r="AI83" s="120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</row>
    <row r="84" ht="12.75" customHeight="1">
      <c r="A84" s="117"/>
      <c r="B84" s="118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5"/>
      <c r="AG84" s="125"/>
      <c r="AH84" s="125"/>
      <c r="AI84" s="125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</row>
    <row r="85" ht="12.75" customHeight="1">
      <c r="A85" s="121"/>
      <c r="B85" s="118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12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20"/>
      <c r="AG85" s="120"/>
      <c r="AH85" s="120"/>
      <c r="AI85" s="120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</row>
    <row r="86" ht="12.75" customHeight="1">
      <c r="A86" s="121"/>
      <c r="B86" s="118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20"/>
      <c r="AG86" s="120"/>
      <c r="AH86" s="120"/>
      <c r="AI86" s="120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  <row r="87" ht="12.75" customHeight="1">
      <c r="A87" s="117"/>
      <c r="B87" s="118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5"/>
      <c r="AG87" s="125"/>
      <c r="AH87" s="125"/>
      <c r="AI87" s="125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</row>
    <row r="88" ht="12.75" customHeight="1">
      <c r="A88" s="121"/>
      <c r="B88" s="118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20"/>
      <c r="AG88" s="120"/>
      <c r="AH88" s="120"/>
      <c r="AI88" s="120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</row>
    <row r="89" ht="12.75" customHeight="1">
      <c r="A89" s="121"/>
      <c r="B89" s="123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20"/>
      <c r="AG89" s="120"/>
      <c r="AH89" s="120"/>
      <c r="AI89" s="120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</row>
    <row r="90" ht="12.75" customHeight="1">
      <c r="A90" s="117"/>
      <c r="B90" s="118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5"/>
      <c r="AG90" s="125"/>
      <c r="AH90" s="125"/>
      <c r="AI90" s="125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</row>
    <row r="91" ht="12.75" customHeight="1">
      <c r="A91" s="121"/>
      <c r="B91" s="118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20"/>
      <c r="AG91" s="120"/>
      <c r="AH91" s="120"/>
      <c r="AI91" s="120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</row>
    <row r="92" ht="12.75" customHeight="1">
      <c r="A92" s="121"/>
      <c r="B92" s="118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20"/>
      <c r="AG92" s="120"/>
      <c r="AH92" s="120"/>
      <c r="AI92" s="120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</row>
    <row r="93" ht="12.75" customHeight="1">
      <c r="A93" s="117"/>
      <c r="B93" s="123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5"/>
      <c r="AG93" s="125"/>
      <c r="AH93" s="125"/>
      <c r="AI93" s="125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</row>
    <row r="94" ht="12.75" customHeight="1">
      <c r="A94" s="121"/>
      <c r="B94" s="118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20"/>
      <c r="AG94" s="120"/>
      <c r="AH94" s="120"/>
      <c r="AI94" s="120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</row>
    <row r="95" ht="12.75" customHeight="1">
      <c r="A95" s="121"/>
      <c r="B95" s="118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20"/>
      <c r="AG95" s="120"/>
      <c r="AH95" s="120"/>
      <c r="AI95" s="120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</row>
    <row r="96" ht="12.75" customHeight="1">
      <c r="A96" s="117"/>
      <c r="B96" s="118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5"/>
      <c r="AG96" s="125"/>
      <c r="AH96" s="125"/>
      <c r="AI96" s="125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</row>
    <row r="97" ht="12.75" customHeight="1">
      <c r="A97" s="121"/>
      <c r="B97" s="118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20"/>
      <c r="AG97" s="120"/>
      <c r="AH97" s="120"/>
      <c r="AI97" s="120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</row>
    <row r="98" ht="12.75" customHeight="1">
      <c r="A98" s="121"/>
      <c r="B98" s="118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20"/>
      <c r="AG98" s="120"/>
      <c r="AH98" s="120"/>
      <c r="AI98" s="120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</row>
    <row r="99" ht="12.75" customHeight="1">
      <c r="A99" s="117"/>
      <c r="B99" s="118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5"/>
      <c r="AG99" s="125"/>
      <c r="AH99" s="125"/>
      <c r="AI99" s="125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</row>
    <row r="100" ht="12.75" customHeight="1">
      <c r="A100" s="121"/>
      <c r="B100" s="118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20"/>
      <c r="AG100" s="120"/>
      <c r="AH100" s="120"/>
      <c r="AI100" s="120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</row>
    <row r="101" ht="12.75" customHeight="1">
      <c r="A101" s="121"/>
      <c r="B101" s="118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20"/>
      <c r="AG101" s="120"/>
      <c r="AH101" s="120"/>
      <c r="AI101" s="120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</row>
    <row r="102" ht="12.75" customHeight="1">
      <c r="A102" s="117"/>
      <c r="B102" s="118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5"/>
      <c r="AG102" s="125"/>
      <c r="AH102" s="125"/>
      <c r="AI102" s="125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</row>
    <row r="103" ht="12.75" customHeight="1">
      <c r="A103" s="121"/>
      <c r="B103" s="118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20"/>
      <c r="AG103" s="120"/>
      <c r="AH103" s="120"/>
      <c r="AI103" s="120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</row>
    <row r="104" ht="12.75" customHeight="1">
      <c r="A104" s="121"/>
      <c r="B104" s="118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20"/>
      <c r="AG104" s="120"/>
      <c r="AH104" s="120"/>
      <c r="AI104" s="120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</row>
    <row r="105" ht="12.75" customHeight="1">
      <c r="A105" s="117"/>
      <c r="B105" s="118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5"/>
      <c r="AG105" s="125"/>
      <c r="AH105" s="125"/>
      <c r="AI105" s="125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</row>
    <row r="106" ht="12.75" customHeight="1">
      <c r="A106" s="121"/>
      <c r="B106" s="118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20"/>
      <c r="AG106" s="120"/>
      <c r="AH106" s="120"/>
      <c r="AI106" s="120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</row>
    <row r="107" ht="12.75" customHeight="1">
      <c r="A107" s="121"/>
      <c r="B107" s="123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20"/>
      <c r="AG107" s="120"/>
      <c r="AH107" s="120"/>
      <c r="AI107" s="120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</row>
    <row r="108" ht="12.75" customHeight="1">
      <c r="A108" s="117"/>
      <c r="B108" s="118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5"/>
      <c r="AG108" s="125"/>
      <c r="AH108" s="125"/>
      <c r="AI108" s="125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</row>
    <row r="109" ht="12.75" customHeight="1">
      <c r="A109" s="121"/>
      <c r="B109" s="118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20"/>
      <c r="AG109" s="120"/>
      <c r="AH109" s="120"/>
      <c r="AI109" s="120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</row>
    <row r="110" ht="12.75" customHeight="1">
      <c r="A110" s="121"/>
      <c r="B110" s="118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20"/>
      <c r="AG110" s="120"/>
      <c r="AH110" s="120"/>
      <c r="AI110" s="120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</row>
    <row r="111" ht="12.75" customHeight="1">
      <c r="A111" s="117"/>
      <c r="B111" s="123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5"/>
      <c r="AG111" s="125"/>
      <c r="AH111" s="125"/>
      <c r="AI111" s="125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</row>
    <row r="112" ht="12.75" customHeight="1">
      <c r="A112" s="121"/>
      <c r="B112" s="118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20"/>
      <c r="AG112" s="120"/>
      <c r="AH112" s="120"/>
      <c r="AI112" s="120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</row>
    <row r="113" ht="12.75" customHeight="1">
      <c r="A113" s="121"/>
      <c r="B113" s="118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20"/>
      <c r="AG113" s="120"/>
      <c r="AH113" s="120"/>
      <c r="AI113" s="120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</row>
    <row r="114" ht="12.75" customHeight="1">
      <c r="A114" s="117"/>
      <c r="B114" s="118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5"/>
      <c r="AG114" s="125"/>
      <c r="AH114" s="125"/>
      <c r="AI114" s="125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</row>
    <row r="115" ht="12.75" customHeight="1">
      <c r="A115" s="117"/>
      <c r="B115" s="11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5"/>
      <c r="AG115" s="125"/>
      <c r="AH115" s="125"/>
      <c r="AI115" s="125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</row>
    <row r="116" ht="10.5" customHeight="1">
      <c r="A116" s="127"/>
      <c r="B116" s="11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</row>
    <row r="117" ht="12.75" customHeight="1">
      <c r="A117" s="129"/>
      <c r="B117" s="123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20"/>
      <c r="AG117" s="120"/>
      <c r="AH117" s="120"/>
      <c r="AI117" s="120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</row>
    <row r="118" ht="12.75" customHeight="1">
      <c r="A118" s="129"/>
      <c r="B118" s="123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20"/>
      <c r="AG118" s="120"/>
      <c r="AH118" s="120"/>
      <c r="AI118" s="120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</row>
    <row r="119" ht="10.5" customHeight="1">
      <c r="A119" s="130"/>
      <c r="B119" s="123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</row>
    <row r="120" ht="10.5" customHeight="1">
      <c r="A120" s="129"/>
      <c r="B120" s="123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</row>
    <row r="121" ht="10.5" customHeight="1">
      <c r="A121" s="121"/>
      <c r="B121" s="118"/>
      <c r="C121" s="132"/>
      <c r="D121" s="4"/>
      <c r="E121" s="4"/>
      <c r="F121" s="4"/>
      <c r="G121" s="4"/>
      <c r="H121" s="4"/>
      <c r="I121" s="4"/>
      <c r="J121" s="4"/>
      <c r="K121" s="4"/>
      <c r="L121" s="2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</row>
    <row r="122" ht="10.5" customHeight="1">
      <c r="A122" s="127"/>
      <c r="B122" s="118"/>
      <c r="C122" s="133"/>
      <c r="D122" s="134"/>
      <c r="E122" s="134"/>
      <c r="F122" s="134"/>
      <c r="G122" s="134"/>
      <c r="H122" s="134"/>
      <c r="I122" s="134"/>
      <c r="J122" s="134"/>
      <c r="K122" s="134"/>
      <c r="L122" s="135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</row>
    <row r="123" ht="10.5" customHeight="1">
      <c r="A123" s="121"/>
      <c r="B123" s="118"/>
      <c r="C123" s="136"/>
      <c r="D123" s="136"/>
      <c r="E123" s="137"/>
      <c r="F123" s="136"/>
      <c r="G123" s="136"/>
      <c r="H123" s="136"/>
      <c r="I123" s="136"/>
      <c r="J123" s="136"/>
      <c r="K123" s="136"/>
      <c r="L123" s="13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</row>
    <row r="124" ht="10.5" customHeight="1">
      <c r="A124" s="121"/>
      <c r="B124" s="118"/>
      <c r="C124" s="137"/>
      <c r="D124" s="128"/>
      <c r="E124" s="128"/>
      <c r="F124" s="128"/>
      <c r="G124" s="137"/>
      <c r="H124" s="137"/>
      <c r="I124" s="12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</row>
    <row r="125" ht="10.5" customHeight="1">
      <c r="A125" s="121"/>
      <c r="B125" s="118"/>
      <c r="C125" s="137"/>
      <c r="D125" s="128"/>
      <c r="E125" s="128"/>
      <c r="F125" s="128"/>
      <c r="G125" s="9"/>
      <c r="H125" s="128"/>
      <c r="I125" s="12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</row>
    <row r="126" ht="10.5" customHeight="1">
      <c r="A126" s="127"/>
      <c r="B126" s="118"/>
      <c r="C126" s="9"/>
      <c r="D126" s="128"/>
      <c r="E126" s="128"/>
      <c r="F126" s="128"/>
      <c r="G126" s="9"/>
      <c r="H126" s="128"/>
      <c r="I126" s="12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</row>
    <row r="127" ht="10.5" customHeight="1">
      <c r="A127" s="127"/>
      <c r="B127" s="118"/>
      <c r="C127" s="138"/>
      <c r="D127" s="138"/>
      <c r="E127" s="137"/>
      <c r="F127" s="138"/>
      <c r="G127" s="138"/>
      <c r="H127" s="138"/>
      <c r="I127" s="138"/>
      <c r="J127" s="138"/>
      <c r="K127" s="138"/>
      <c r="L127" s="13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</row>
    <row r="128" ht="10.5" customHeight="1">
      <c r="A128" s="127"/>
      <c r="B128" s="11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</row>
    <row r="129" ht="10.5" customHeight="1">
      <c r="A129" s="127"/>
      <c r="B129" s="118"/>
      <c r="C129" s="9"/>
      <c r="D129" s="128"/>
      <c r="E129" s="128"/>
      <c r="F129" s="128"/>
      <c r="G129" s="9"/>
      <c r="H129" s="128"/>
      <c r="I129" s="12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</row>
    <row r="130" ht="10.5" customHeight="1">
      <c r="A130" s="127"/>
      <c r="B130" s="118"/>
      <c r="C130" s="9"/>
      <c r="D130" s="128"/>
      <c r="E130" s="137"/>
      <c r="F130" s="128"/>
      <c r="G130" s="9"/>
      <c r="H130" s="128"/>
      <c r="I130" s="128"/>
      <c r="J130" s="13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</row>
    <row r="131" ht="10.5" customHeight="1">
      <c r="A131" s="127"/>
      <c r="B131" s="118"/>
      <c r="C131" s="9"/>
      <c r="D131" s="128"/>
      <c r="E131" s="9"/>
      <c r="F131" s="128"/>
      <c r="G131" s="9"/>
      <c r="H131" s="128"/>
      <c r="I131" s="12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</row>
    <row r="132" ht="10.5" customHeight="1">
      <c r="A132" s="127"/>
      <c r="B132" s="118"/>
      <c r="C132" s="9"/>
      <c r="D132" s="128"/>
      <c r="E132" s="9"/>
      <c r="F132" s="128"/>
      <c r="G132" s="9"/>
      <c r="H132" s="128"/>
      <c r="I132" s="12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</row>
    <row r="133" ht="10.5" customHeight="1">
      <c r="A133" s="127"/>
      <c r="B133" s="118"/>
      <c r="C133" s="137"/>
      <c r="D133" s="128"/>
      <c r="E133" s="9"/>
      <c r="F133" s="128"/>
      <c r="G133" s="9"/>
      <c r="H133" s="128"/>
      <c r="I133" s="12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</row>
    <row r="134" ht="10.5" customHeight="1">
      <c r="A134" s="127"/>
      <c r="B134" s="118"/>
      <c r="C134" s="9"/>
      <c r="D134" s="128"/>
      <c r="E134" s="9"/>
      <c r="F134" s="128"/>
      <c r="G134" s="9"/>
      <c r="H134" s="128"/>
      <c r="I134" s="12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</row>
    <row r="135" ht="10.5" customHeight="1">
      <c r="A135" s="127"/>
      <c r="B135" s="118"/>
      <c r="C135" s="9"/>
      <c r="D135" s="128"/>
      <c r="E135" s="9"/>
      <c r="F135" s="128"/>
      <c r="G135" s="9"/>
      <c r="H135" s="128"/>
      <c r="I135" s="12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</row>
    <row r="136" ht="10.5" customHeight="1">
      <c r="A136" s="127"/>
      <c r="B136" s="118"/>
      <c r="C136" s="9"/>
      <c r="D136" s="128"/>
      <c r="E136" s="9"/>
      <c r="F136" s="128"/>
      <c r="G136" s="9"/>
      <c r="H136" s="128"/>
      <c r="I136" s="12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</row>
    <row r="137" ht="10.5" customHeight="1">
      <c r="A137" s="127"/>
      <c r="B137" s="118"/>
      <c r="C137" s="9"/>
      <c r="D137" s="128"/>
      <c r="E137" s="128"/>
      <c r="F137" s="128"/>
      <c r="G137" s="9"/>
      <c r="H137" s="128"/>
      <c r="I137" s="12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</row>
    <row r="138" ht="10.5" customHeight="1">
      <c r="A138" s="127"/>
      <c r="B138" s="118"/>
      <c r="C138" s="9"/>
      <c r="D138" s="128"/>
      <c r="E138" s="128"/>
      <c r="F138" s="128"/>
      <c r="G138" s="9"/>
      <c r="H138" s="128"/>
      <c r="I138" s="12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</row>
    <row r="139" ht="10.5" customHeight="1">
      <c r="A139" s="127"/>
      <c r="B139" s="118"/>
      <c r="C139" s="9"/>
      <c r="D139" s="128"/>
      <c r="E139" s="128"/>
      <c r="F139" s="128"/>
      <c r="G139" s="9"/>
      <c r="H139" s="128"/>
      <c r="I139" s="12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</row>
    <row r="140" ht="10.5" customHeight="1">
      <c r="A140" s="127"/>
      <c r="B140" s="118"/>
      <c r="C140" s="9"/>
      <c r="D140" s="128"/>
      <c r="E140" s="128"/>
      <c r="F140" s="128"/>
      <c r="G140" s="9"/>
      <c r="H140" s="128"/>
      <c r="I140" s="12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</row>
    <row r="141" ht="10.5" customHeight="1">
      <c r="A141" s="127"/>
      <c r="B141" s="118"/>
      <c r="C141" s="9"/>
      <c r="D141" s="128"/>
      <c r="E141" s="128"/>
      <c r="F141" s="128"/>
      <c r="G141" s="9"/>
      <c r="H141" s="128"/>
      <c r="I141" s="12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</row>
    <row r="142" ht="10.5" customHeight="1">
      <c r="A142" s="127"/>
      <c r="B142" s="118"/>
      <c r="C142" s="9"/>
      <c r="D142" s="128"/>
      <c r="E142" s="128"/>
      <c r="F142" s="128"/>
      <c r="G142" s="9"/>
      <c r="H142" s="128"/>
      <c r="I142" s="12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</row>
    <row r="143" ht="10.5" customHeight="1">
      <c r="A143" s="127"/>
      <c r="B143" s="118"/>
      <c r="C143" s="9"/>
      <c r="D143" s="128"/>
      <c r="E143" s="128"/>
      <c r="F143" s="128"/>
      <c r="G143" s="9"/>
      <c r="H143" s="128"/>
      <c r="I143" s="12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</row>
    <row r="144" ht="10.5" customHeight="1">
      <c r="A144" s="127"/>
      <c r="B144" s="118"/>
      <c r="C144" s="128"/>
      <c r="D144" s="128"/>
      <c r="E144" s="128"/>
      <c r="F144" s="128"/>
      <c r="G144" s="9"/>
      <c r="H144" s="128"/>
      <c r="I144" s="12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</row>
    <row r="145" ht="10.5" customHeight="1">
      <c r="A145" s="127"/>
      <c r="B145" s="118"/>
      <c r="C145" s="128"/>
      <c r="D145" s="128"/>
      <c r="E145" s="128"/>
      <c r="F145" s="128"/>
      <c r="G145" s="9"/>
      <c r="H145" s="128"/>
      <c r="I145" s="12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</row>
    <row r="146" ht="10.5" customHeight="1">
      <c r="A146" s="127"/>
      <c r="B146" s="118"/>
      <c r="C146" s="128"/>
      <c r="D146" s="128"/>
      <c r="E146" s="128"/>
      <c r="F146" s="128"/>
      <c r="G146" s="9"/>
      <c r="H146" s="128"/>
      <c r="I146" s="12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</row>
    <row r="147" ht="10.5" customHeight="1">
      <c r="A147" s="127"/>
      <c r="B147" s="118"/>
      <c r="C147" s="128"/>
      <c r="D147" s="128"/>
      <c r="E147" s="128"/>
      <c r="F147" s="128"/>
      <c r="G147" s="9"/>
      <c r="H147" s="128"/>
      <c r="I147" s="12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</row>
    <row r="148" ht="10.5" customHeight="1">
      <c r="A148" s="127"/>
      <c r="B148" s="118"/>
      <c r="C148" s="128"/>
      <c r="D148" s="128"/>
      <c r="E148" s="128"/>
      <c r="F148" s="128"/>
      <c r="G148" s="9"/>
      <c r="H148" s="128"/>
      <c r="I148" s="12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</row>
    <row r="149" ht="10.5" customHeight="1">
      <c r="A149" s="127"/>
      <c r="B149" s="118"/>
      <c r="C149" s="128"/>
      <c r="D149" s="128"/>
      <c r="E149" s="128"/>
      <c r="F149" s="128"/>
      <c r="G149" s="128"/>
      <c r="H149" s="128"/>
      <c r="I149" s="12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</row>
    <row r="150" ht="10.5" customHeight="1">
      <c r="A150" s="127"/>
      <c r="B150" s="118"/>
      <c r="C150" s="128"/>
      <c r="D150" s="128"/>
      <c r="E150" s="128"/>
      <c r="F150" s="128"/>
      <c r="G150" s="128"/>
      <c r="H150" s="128"/>
      <c r="I150" s="12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</row>
    <row r="151" ht="10.5" customHeight="1">
      <c r="A151" s="127"/>
      <c r="B151" s="118"/>
      <c r="C151" s="128"/>
      <c r="D151" s="128"/>
      <c r="E151" s="128"/>
      <c r="F151" s="128"/>
      <c r="G151" s="128"/>
      <c r="H151" s="128"/>
      <c r="I151" s="12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</row>
    <row r="152" ht="10.5" customHeight="1">
      <c r="A152" s="127"/>
      <c r="B152" s="118"/>
      <c r="C152" s="128"/>
      <c r="D152" s="128"/>
      <c r="E152" s="128"/>
      <c r="F152" s="128"/>
      <c r="G152" s="128"/>
      <c r="H152" s="128"/>
      <c r="I152" s="12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</row>
    <row r="153" ht="10.5" customHeight="1">
      <c r="A153" s="127"/>
      <c r="B153" s="118"/>
      <c r="C153" s="128"/>
      <c r="D153" s="128"/>
      <c r="E153" s="128"/>
      <c r="F153" s="128"/>
      <c r="G153" s="128"/>
      <c r="H153" s="128"/>
      <c r="I153" s="12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</row>
    <row r="154" ht="10.5" customHeight="1">
      <c r="A154" s="127"/>
      <c r="B154" s="118"/>
      <c r="C154" s="128"/>
      <c r="D154" s="128"/>
      <c r="E154" s="128"/>
      <c r="F154" s="128"/>
      <c r="G154" s="128"/>
      <c r="H154" s="128"/>
      <c r="I154" s="12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</row>
    <row r="155" ht="10.5" customHeight="1">
      <c r="A155" s="127"/>
      <c r="B155" s="118"/>
      <c r="C155" s="128"/>
      <c r="D155" s="128"/>
      <c r="E155" s="128"/>
      <c r="F155" s="128"/>
      <c r="G155" s="128"/>
      <c r="H155" s="128"/>
      <c r="I155" s="12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</row>
    <row r="156" ht="10.5" customHeight="1">
      <c r="A156" s="127"/>
      <c r="B156" s="118"/>
      <c r="C156" s="128"/>
      <c r="D156" s="128"/>
      <c r="E156" s="128"/>
      <c r="F156" s="128"/>
      <c r="G156" s="128"/>
      <c r="H156" s="128"/>
      <c r="I156" s="12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</row>
    <row r="157" ht="10.5" customHeight="1">
      <c r="A157" s="127"/>
      <c r="B157" s="118"/>
      <c r="C157" s="128"/>
      <c r="D157" s="128"/>
      <c r="E157" s="128"/>
      <c r="F157" s="128"/>
      <c r="G157" s="128"/>
      <c r="H157" s="128"/>
      <c r="I157" s="12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</row>
    <row r="158" ht="10.5" customHeight="1">
      <c r="A158" s="127"/>
      <c r="B158" s="118"/>
      <c r="C158" s="128"/>
      <c r="D158" s="128"/>
      <c r="E158" s="128"/>
      <c r="F158" s="128"/>
      <c r="G158" s="128"/>
      <c r="H158" s="128"/>
      <c r="I158" s="12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</row>
    <row r="159" ht="10.5" customHeight="1">
      <c r="A159" s="127"/>
      <c r="B159" s="118"/>
      <c r="C159" s="128"/>
      <c r="D159" s="128"/>
      <c r="E159" s="128"/>
      <c r="F159" s="128"/>
      <c r="G159" s="128"/>
      <c r="H159" s="128"/>
      <c r="I159" s="12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</row>
    <row r="160" ht="10.5" customHeight="1">
      <c r="A160" s="127"/>
      <c r="B160" s="118"/>
      <c r="C160" s="128"/>
      <c r="D160" s="128"/>
      <c r="E160" s="128"/>
      <c r="F160" s="128"/>
      <c r="G160" s="128"/>
      <c r="H160" s="128"/>
      <c r="I160" s="12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</row>
    <row r="161" ht="10.5" customHeight="1">
      <c r="A161" s="127"/>
      <c r="B161" s="118"/>
      <c r="C161" s="128"/>
      <c r="D161" s="128"/>
      <c r="E161" s="128"/>
      <c r="F161" s="128"/>
      <c r="G161" s="128"/>
      <c r="H161" s="128"/>
      <c r="I161" s="12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</row>
    <row r="162" ht="10.5" customHeight="1">
      <c r="A162" s="127"/>
      <c r="B162" s="118"/>
      <c r="C162" s="128"/>
      <c r="D162" s="128"/>
      <c r="E162" s="128"/>
      <c r="F162" s="128"/>
      <c r="G162" s="128"/>
      <c r="H162" s="128"/>
      <c r="I162" s="12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</row>
    <row r="163" ht="10.5" customHeight="1">
      <c r="A163" s="127"/>
      <c r="B163" s="118"/>
      <c r="C163" s="128"/>
      <c r="D163" s="128"/>
      <c r="E163" s="128"/>
      <c r="F163" s="128"/>
      <c r="G163" s="128"/>
      <c r="H163" s="128"/>
      <c r="I163" s="12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</row>
    <row r="164" ht="10.5" customHeight="1">
      <c r="A164" s="127"/>
      <c r="B164" s="118"/>
      <c r="C164" s="128"/>
      <c r="D164" s="128"/>
      <c r="E164" s="128"/>
      <c r="F164" s="128"/>
      <c r="G164" s="128"/>
      <c r="H164" s="128"/>
      <c r="I164" s="12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</row>
    <row r="165" ht="10.5" customHeight="1">
      <c r="A165" s="127"/>
      <c r="B165" s="118"/>
      <c r="C165" s="128"/>
      <c r="D165" s="128"/>
      <c r="E165" s="128"/>
      <c r="F165" s="128"/>
      <c r="G165" s="128"/>
      <c r="H165" s="128"/>
      <c r="I165" s="12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</row>
    <row r="166" ht="10.5" customHeight="1">
      <c r="A166" s="127"/>
      <c r="B166" s="118"/>
      <c r="C166" s="128"/>
      <c r="D166" s="128"/>
      <c r="E166" s="128"/>
      <c r="F166" s="128"/>
      <c r="G166" s="128"/>
      <c r="H166" s="128"/>
      <c r="I166" s="12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</row>
    <row r="167" ht="10.5" customHeight="1">
      <c r="A167" s="127"/>
      <c r="B167" s="118"/>
      <c r="C167" s="128"/>
      <c r="D167" s="128"/>
      <c r="E167" s="128"/>
      <c r="F167" s="128"/>
      <c r="G167" s="128"/>
      <c r="H167" s="128"/>
      <c r="I167" s="12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</row>
    <row r="168" ht="10.5" customHeight="1">
      <c r="A168" s="127"/>
      <c r="B168" s="118"/>
      <c r="C168" s="128"/>
      <c r="D168" s="128"/>
      <c r="E168" s="128"/>
      <c r="F168" s="128"/>
      <c r="G168" s="128"/>
      <c r="H168" s="128"/>
      <c r="I168" s="12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</row>
    <row r="169" ht="10.5" customHeight="1">
      <c r="A169" s="127"/>
      <c r="B169" s="118"/>
      <c r="C169" s="128"/>
      <c r="D169" s="128"/>
      <c r="E169" s="128"/>
      <c r="F169" s="128"/>
      <c r="G169" s="128"/>
      <c r="H169" s="128"/>
      <c r="I169" s="12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</row>
    <row r="170" ht="10.5" customHeight="1">
      <c r="A170" s="127"/>
      <c r="B170" s="118"/>
      <c r="C170" s="128"/>
      <c r="D170" s="128"/>
      <c r="E170" s="128"/>
      <c r="F170" s="128"/>
      <c r="G170" s="128"/>
      <c r="H170" s="128"/>
      <c r="I170" s="12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</row>
    <row r="171" ht="10.5" customHeight="1">
      <c r="A171" s="127"/>
      <c r="B171" s="118"/>
      <c r="C171" s="128"/>
      <c r="D171" s="128"/>
      <c r="E171" s="128"/>
      <c r="F171" s="128"/>
      <c r="G171" s="128"/>
      <c r="H171" s="128"/>
      <c r="I171" s="12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</row>
    <row r="172" ht="10.5" customHeight="1">
      <c r="A172" s="127"/>
      <c r="B172" s="118"/>
      <c r="C172" s="128"/>
      <c r="D172" s="128"/>
      <c r="E172" s="128"/>
      <c r="F172" s="128"/>
      <c r="G172" s="128"/>
      <c r="H172" s="128"/>
      <c r="I172" s="12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</row>
    <row r="173" ht="10.5" customHeight="1">
      <c r="A173" s="127"/>
      <c r="B173" s="118"/>
      <c r="C173" s="128"/>
      <c r="D173" s="128"/>
      <c r="E173" s="128"/>
      <c r="F173" s="128"/>
      <c r="G173" s="128"/>
      <c r="H173" s="128"/>
      <c r="I173" s="12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</row>
    <row r="174" ht="10.5" customHeight="1">
      <c r="A174" s="127"/>
      <c r="B174" s="118"/>
      <c r="C174" s="128"/>
      <c r="D174" s="128"/>
      <c r="E174" s="128"/>
      <c r="F174" s="128"/>
      <c r="G174" s="128"/>
      <c r="H174" s="128"/>
      <c r="I174" s="12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</row>
    <row r="175" ht="10.5" customHeight="1">
      <c r="A175" s="127"/>
      <c r="B175" s="118"/>
      <c r="C175" s="128"/>
      <c r="D175" s="128"/>
      <c r="E175" s="128"/>
      <c r="F175" s="128"/>
      <c r="G175" s="128"/>
      <c r="H175" s="128"/>
      <c r="I175" s="12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</row>
    <row r="176" ht="10.5" customHeight="1">
      <c r="A176" s="127"/>
      <c r="B176" s="118"/>
      <c r="C176" s="128"/>
      <c r="D176" s="128"/>
      <c r="E176" s="128"/>
      <c r="F176" s="128"/>
      <c r="G176" s="128"/>
      <c r="H176" s="128"/>
      <c r="I176" s="12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</row>
    <row r="177" ht="10.5" customHeight="1">
      <c r="A177" s="127"/>
      <c r="B177" s="118"/>
      <c r="C177" s="128"/>
      <c r="D177" s="128"/>
      <c r="E177" s="128"/>
      <c r="F177" s="128"/>
      <c r="G177" s="128"/>
      <c r="H177" s="128"/>
      <c r="I177" s="12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</row>
    <row r="178" ht="10.5" customHeight="1">
      <c r="A178" s="127"/>
      <c r="B178" s="118"/>
      <c r="C178" s="128"/>
      <c r="D178" s="128"/>
      <c r="E178" s="128"/>
      <c r="F178" s="128"/>
      <c r="G178" s="128"/>
      <c r="H178" s="128"/>
      <c r="I178" s="12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</row>
    <row r="179" ht="10.5" customHeight="1">
      <c r="A179" s="127"/>
      <c r="B179" s="118"/>
      <c r="C179" s="128"/>
      <c r="D179" s="128"/>
      <c r="E179" s="128"/>
      <c r="F179" s="128"/>
      <c r="G179" s="128"/>
      <c r="H179" s="128"/>
      <c r="I179" s="12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</row>
    <row r="180" ht="10.5" customHeight="1">
      <c r="A180" s="127"/>
      <c r="B180" s="118"/>
      <c r="C180" s="128"/>
      <c r="D180" s="128"/>
      <c r="E180" s="128"/>
      <c r="F180" s="128"/>
      <c r="G180" s="128"/>
      <c r="H180" s="128"/>
      <c r="I180" s="12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</row>
    <row r="181" ht="10.5" customHeight="1">
      <c r="A181" s="127"/>
      <c r="B181" s="118"/>
      <c r="C181" s="128"/>
      <c r="D181" s="128"/>
      <c r="E181" s="128"/>
      <c r="F181" s="128"/>
      <c r="G181" s="128"/>
      <c r="H181" s="128"/>
      <c r="I181" s="12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</row>
    <row r="182" ht="10.5" customHeight="1">
      <c r="A182" s="127"/>
      <c r="B182" s="118"/>
      <c r="C182" s="128"/>
      <c r="D182" s="128"/>
      <c r="E182" s="128"/>
      <c r="F182" s="128"/>
      <c r="G182" s="128"/>
      <c r="H182" s="128"/>
      <c r="I182" s="12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</row>
    <row r="183" ht="10.5" customHeight="1">
      <c r="A183" s="127"/>
      <c r="B183" s="118"/>
      <c r="C183" s="128"/>
      <c r="D183" s="128"/>
      <c r="E183" s="128"/>
      <c r="F183" s="128"/>
      <c r="G183" s="128"/>
      <c r="H183" s="128"/>
      <c r="I183" s="12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</row>
    <row r="184" ht="10.5" customHeight="1">
      <c r="A184" s="127"/>
      <c r="B184" s="118"/>
      <c r="C184" s="128"/>
      <c r="D184" s="128"/>
      <c r="E184" s="128"/>
      <c r="F184" s="128"/>
      <c r="G184" s="128"/>
      <c r="H184" s="128"/>
      <c r="I184" s="12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</row>
    <row r="185" ht="10.5" customHeight="1">
      <c r="A185" s="127"/>
      <c r="B185" s="118"/>
      <c r="C185" s="128"/>
      <c r="D185" s="128"/>
      <c r="E185" s="128"/>
      <c r="F185" s="128"/>
      <c r="G185" s="128"/>
      <c r="H185" s="128"/>
      <c r="I185" s="12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</row>
    <row r="186" ht="10.5" customHeight="1">
      <c r="A186" s="127"/>
      <c r="B186" s="118"/>
      <c r="C186" s="128"/>
      <c r="D186" s="128"/>
      <c r="E186" s="128"/>
      <c r="F186" s="128"/>
      <c r="G186" s="128"/>
      <c r="H186" s="128"/>
      <c r="I186" s="12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</row>
    <row r="187" ht="10.5" customHeight="1">
      <c r="A187" s="127"/>
      <c r="B187" s="118"/>
      <c r="C187" s="128"/>
      <c r="D187" s="128"/>
      <c r="E187" s="128"/>
      <c r="F187" s="128"/>
      <c r="G187" s="128"/>
      <c r="H187" s="128"/>
      <c r="I187" s="12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</row>
    <row r="188" ht="10.5" customHeight="1">
      <c r="A188" s="127"/>
      <c r="B188" s="118"/>
      <c r="C188" s="128"/>
      <c r="D188" s="128"/>
      <c r="E188" s="128"/>
      <c r="F188" s="128"/>
      <c r="G188" s="128"/>
      <c r="H188" s="128"/>
      <c r="I188" s="12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</row>
    <row r="189" ht="10.5" customHeight="1">
      <c r="A189" s="127"/>
      <c r="B189" s="118"/>
      <c r="C189" s="128"/>
      <c r="D189" s="128"/>
      <c r="E189" s="128"/>
      <c r="F189" s="128"/>
      <c r="G189" s="128"/>
      <c r="H189" s="128"/>
      <c r="I189" s="12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</row>
    <row r="190" ht="10.5" customHeight="1">
      <c r="A190" s="127"/>
      <c r="B190" s="118"/>
      <c r="C190" s="128"/>
      <c r="D190" s="128"/>
      <c r="E190" s="128"/>
      <c r="F190" s="128"/>
      <c r="G190" s="128"/>
      <c r="H190" s="128"/>
      <c r="I190" s="12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</row>
    <row r="191" ht="10.5" customHeight="1">
      <c r="A191" s="127"/>
      <c r="B191" s="118"/>
      <c r="C191" s="128"/>
      <c r="D191" s="128"/>
      <c r="E191" s="128"/>
      <c r="F191" s="128"/>
      <c r="G191" s="128"/>
      <c r="H191" s="128"/>
      <c r="I191" s="12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</row>
    <row r="192" ht="10.5" customHeight="1">
      <c r="A192" s="127"/>
      <c r="B192" s="118"/>
      <c r="C192" s="128"/>
      <c r="D192" s="128"/>
      <c r="E192" s="128"/>
      <c r="F192" s="128"/>
      <c r="G192" s="128"/>
      <c r="H192" s="128"/>
      <c r="I192" s="12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</row>
    <row r="193" ht="10.5" customHeight="1">
      <c r="A193" s="127"/>
      <c r="B193" s="118"/>
      <c r="C193" s="128"/>
      <c r="D193" s="128"/>
      <c r="E193" s="128"/>
      <c r="F193" s="128"/>
      <c r="G193" s="128"/>
      <c r="H193" s="128"/>
      <c r="I193" s="12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</row>
    <row r="194" ht="10.5" customHeight="1">
      <c r="A194" s="127"/>
      <c r="B194" s="118"/>
      <c r="C194" s="128"/>
      <c r="D194" s="128"/>
      <c r="E194" s="128"/>
      <c r="F194" s="128"/>
      <c r="G194" s="128"/>
      <c r="H194" s="128"/>
      <c r="I194" s="12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</row>
    <row r="195" ht="10.5" customHeight="1">
      <c r="A195" s="127"/>
      <c r="B195" s="118"/>
      <c r="C195" s="128"/>
      <c r="D195" s="128"/>
      <c r="E195" s="128"/>
      <c r="F195" s="128"/>
      <c r="G195" s="128"/>
      <c r="H195" s="128"/>
      <c r="I195" s="12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</row>
    <row r="196" ht="10.5" customHeight="1">
      <c r="A196" s="127"/>
      <c r="B196" s="118"/>
      <c r="C196" s="128"/>
      <c r="D196" s="128"/>
      <c r="E196" s="128"/>
      <c r="F196" s="128"/>
      <c r="G196" s="128"/>
      <c r="H196" s="128"/>
      <c r="I196" s="12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</row>
    <row r="197" ht="10.5" customHeight="1">
      <c r="A197" s="127"/>
      <c r="B197" s="118"/>
      <c r="C197" s="128"/>
      <c r="D197" s="128"/>
      <c r="E197" s="128"/>
      <c r="F197" s="128"/>
      <c r="G197" s="128"/>
      <c r="H197" s="128"/>
      <c r="I197" s="12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</row>
    <row r="198" ht="10.5" customHeight="1">
      <c r="A198" s="127"/>
      <c r="B198" s="118"/>
      <c r="C198" s="128"/>
      <c r="D198" s="128"/>
      <c r="E198" s="128"/>
      <c r="F198" s="128"/>
      <c r="G198" s="128"/>
      <c r="H198" s="128"/>
      <c r="I198" s="12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</row>
    <row r="199" ht="10.5" customHeight="1">
      <c r="A199" s="127"/>
      <c r="B199" s="118"/>
      <c r="C199" s="128"/>
      <c r="D199" s="128"/>
      <c r="E199" s="128"/>
      <c r="F199" s="128"/>
      <c r="G199" s="128"/>
      <c r="H199" s="128"/>
      <c r="I199" s="12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</row>
    <row r="200" ht="10.5" customHeight="1">
      <c r="A200" s="127"/>
      <c r="B200" s="118"/>
      <c r="C200" s="128"/>
      <c r="D200" s="128"/>
      <c r="E200" s="128"/>
      <c r="F200" s="128"/>
      <c r="G200" s="128"/>
      <c r="H200" s="128"/>
      <c r="I200" s="12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</row>
    <row r="201" ht="10.5" customHeight="1">
      <c r="A201" s="127"/>
      <c r="B201" s="118"/>
      <c r="C201" s="128"/>
      <c r="D201" s="128"/>
      <c r="E201" s="128"/>
      <c r="F201" s="128"/>
      <c r="G201" s="128"/>
      <c r="H201" s="128"/>
      <c r="I201" s="12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</row>
    <row r="202" ht="10.5" customHeight="1">
      <c r="A202" s="127"/>
      <c r="B202" s="118"/>
      <c r="C202" s="128"/>
      <c r="D202" s="128"/>
      <c r="E202" s="128"/>
      <c r="F202" s="128"/>
      <c r="G202" s="128"/>
      <c r="H202" s="128"/>
      <c r="I202" s="12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</row>
    <row r="203" ht="10.5" customHeight="1">
      <c r="A203" s="127"/>
      <c r="B203" s="118"/>
      <c r="C203" s="128"/>
      <c r="D203" s="128"/>
      <c r="E203" s="128"/>
      <c r="F203" s="128"/>
      <c r="G203" s="128"/>
      <c r="H203" s="128"/>
      <c r="I203" s="12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</row>
    <row r="204" ht="10.5" customHeight="1">
      <c r="A204" s="127"/>
      <c r="B204" s="118"/>
      <c r="C204" s="128"/>
      <c r="D204" s="128"/>
      <c r="E204" s="128"/>
      <c r="F204" s="128"/>
      <c r="G204" s="128"/>
      <c r="H204" s="128"/>
      <c r="I204" s="12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</row>
    <row r="205" ht="10.5" customHeight="1">
      <c r="A205" s="127"/>
      <c r="B205" s="118"/>
      <c r="C205" s="128"/>
      <c r="D205" s="128"/>
      <c r="E205" s="128"/>
      <c r="F205" s="128"/>
      <c r="G205" s="128"/>
      <c r="H205" s="128"/>
      <c r="I205" s="12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</row>
    <row r="206" ht="10.5" customHeight="1">
      <c r="A206" s="127"/>
      <c r="B206" s="118"/>
      <c r="C206" s="128"/>
      <c r="D206" s="128"/>
      <c r="E206" s="128"/>
      <c r="F206" s="128"/>
      <c r="G206" s="128"/>
      <c r="H206" s="128"/>
      <c r="I206" s="12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</row>
    <row r="207" ht="10.5" customHeight="1">
      <c r="A207" s="127"/>
      <c r="B207" s="118"/>
      <c r="C207" s="128"/>
      <c r="D207" s="128"/>
      <c r="E207" s="128"/>
      <c r="F207" s="128"/>
      <c r="G207" s="128"/>
      <c r="H207" s="128"/>
      <c r="I207" s="12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</row>
    <row r="208" ht="10.5" customHeight="1">
      <c r="A208" s="127"/>
      <c r="B208" s="118"/>
      <c r="C208" s="128"/>
      <c r="D208" s="128"/>
      <c r="E208" s="128"/>
      <c r="F208" s="128"/>
      <c r="G208" s="128"/>
      <c r="H208" s="128"/>
      <c r="I208" s="12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</row>
    <row r="209" ht="10.5" customHeight="1">
      <c r="A209" s="127"/>
      <c r="B209" s="118"/>
      <c r="C209" s="128"/>
      <c r="D209" s="128"/>
      <c r="E209" s="128"/>
      <c r="F209" s="128"/>
      <c r="G209" s="128"/>
      <c r="H209" s="128"/>
      <c r="I209" s="12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</row>
    <row r="210" ht="10.5" customHeight="1">
      <c r="A210" s="127"/>
      <c r="B210" s="118"/>
      <c r="C210" s="128"/>
      <c r="D210" s="128"/>
      <c r="E210" s="128"/>
      <c r="F210" s="128"/>
      <c r="G210" s="128"/>
      <c r="H210" s="128"/>
      <c r="I210" s="12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</row>
    <row r="211" ht="10.5" customHeight="1">
      <c r="A211" s="127"/>
      <c r="B211" s="118"/>
      <c r="C211" s="128"/>
      <c r="D211" s="128"/>
      <c r="E211" s="128"/>
      <c r="F211" s="128"/>
      <c r="G211" s="128"/>
      <c r="H211" s="128"/>
      <c r="I211" s="12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</row>
    <row r="212" ht="10.5" customHeight="1">
      <c r="A212" s="127"/>
      <c r="B212" s="118"/>
      <c r="C212" s="128"/>
      <c r="D212" s="128"/>
      <c r="E212" s="128"/>
      <c r="F212" s="128"/>
      <c r="G212" s="128"/>
      <c r="H212" s="128"/>
      <c r="I212" s="12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</row>
    <row r="213" ht="10.5" customHeight="1">
      <c r="A213" s="127"/>
      <c r="B213" s="118"/>
      <c r="C213" s="128"/>
      <c r="D213" s="128"/>
      <c r="E213" s="128"/>
      <c r="F213" s="128"/>
      <c r="G213" s="128"/>
      <c r="H213" s="128"/>
      <c r="I213" s="12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</row>
    <row r="214" ht="10.5" customHeight="1">
      <c r="A214" s="127"/>
      <c r="B214" s="118"/>
      <c r="C214" s="128"/>
      <c r="D214" s="128"/>
      <c r="E214" s="128"/>
      <c r="F214" s="128"/>
      <c r="G214" s="128"/>
      <c r="H214" s="128"/>
      <c r="I214" s="12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</row>
    <row r="215" ht="10.5" customHeight="1">
      <c r="A215" s="127"/>
      <c r="B215" s="118"/>
      <c r="C215" s="128"/>
      <c r="D215" s="128"/>
      <c r="E215" s="128"/>
      <c r="F215" s="128"/>
      <c r="G215" s="128"/>
      <c r="H215" s="128"/>
      <c r="I215" s="12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</row>
    <row r="216" ht="10.5" customHeight="1">
      <c r="A216" s="127"/>
      <c r="B216" s="118"/>
      <c r="C216" s="128"/>
      <c r="D216" s="128"/>
      <c r="E216" s="128"/>
      <c r="F216" s="128"/>
      <c r="G216" s="128"/>
      <c r="H216" s="128"/>
      <c r="I216" s="12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</row>
    <row r="217" ht="10.5" customHeight="1">
      <c r="A217" s="127"/>
      <c r="B217" s="118"/>
      <c r="C217" s="128"/>
      <c r="D217" s="128"/>
      <c r="E217" s="128"/>
      <c r="F217" s="128"/>
      <c r="G217" s="128"/>
      <c r="H217" s="128"/>
      <c r="I217" s="12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</row>
    <row r="218" ht="10.5" customHeight="1">
      <c r="A218" s="127"/>
      <c r="B218" s="118"/>
      <c r="C218" s="128"/>
      <c r="D218" s="128"/>
      <c r="E218" s="128"/>
      <c r="F218" s="128"/>
      <c r="G218" s="128"/>
      <c r="H218" s="128"/>
      <c r="I218" s="12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</row>
    <row r="219" ht="10.5" customHeight="1">
      <c r="A219" s="127"/>
      <c r="B219" s="118"/>
      <c r="C219" s="128"/>
      <c r="D219" s="128"/>
      <c r="E219" s="128"/>
      <c r="F219" s="128"/>
      <c r="G219" s="128"/>
      <c r="H219" s="128"/>
      <c r="I219" s="12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</row>
    <row r="220" ht="10.5" customHeight="1">
      <c r="A220" s="127"/>
      <c r="B220" s="118"/>
      <c r="C220" s="128"/>
      <c r="D220" s="128"/>
      <c r="E220" s="128"/>
      <c r="F220" s="128"/>
      <c r="G220" s="128"/>
      <c r="H220" s="128"/>
      <c r="I220" s="12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</row>
    <row r="221" ht="10.5" customHeight="1">
      <c r="A221" s="127"/>
      <c r="B221" s="118"/>
      <c r="C221" s="128"/>
      <c r="D221" s="128"/>
      <c r="E221" s="128"/>
      <c r="F221" s="128"/>
      <c r="G221" s="128"/>
      <c r="H221" s="128"/>
      <c r="I221" s="12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</row>
    <row r="222" ht="10.5" customHeight="1">
      <c r="A222" s="127"/>
      <c r="B222" s="118"/>
      <c r="C222" s="128"/>
      <c r="D222" s="128"/>
      <c r="E222" s="128"/>
      <c r="F222" s="128"/>
      <c r="G222" s="128"/>
      <c r="H222" s="128"/>
      <c r="I222" s="12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</row>
    <row r="223" ht="10.5" customHeight="1">
      <c r="A223" s="127"/>
      <c r="B223" s="118"/>
      <c r="C223" s="128"/>
      <c r="D223" s="128"/>
      <c r="E223" s="128"/>
      <c r="F223" s="128"/>
      <c r="G223" s="128"/>
      <c r="H223" s="128"/>
      <c r="I223" s="12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</row>
    <row r="224" ht="10.5" customHeight="1">
      <c r="A224" s="127"/>
      <c r="B224" s="118"/>
      <c r="C224" s="128"/>
      <c r="D224" s="128"/>
      <c r="E224" s="128"/>
      <c r="F224" s="128"/>
      <c r="G224" s="128"/>
      <c r="H224" s="128"/>
      <c r="I224" s="12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</row>
    <row r="225" ht="10.5" customHeight="1">
      <c r="A225" s="127"/>
      <c r="B225" s="118"/>
      <c r="C225" s="128"/>
      <c r="D225" s="128"/>
      <c r="E225" s="128"/>
      <c r="F225" s="128"/>
      <c r="G225" s="128"/>
      <c r="H225" s="128"/>
      <c r="I225" s="12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</row>
    <row r="226" ht="10.5" customHeight="1">
      <c r="A226" s="127"/>
      <c r="B226" s="118"/>
      <c r="C226" s="128"/>
      <c r="D226" s="128"/>
      <c r="E226" s="128"/>
      <c r="F226" s="128"/>
      <c r="G226" s="128"/>
      <c r="H226" s="128"/>
      <c r="I226" s="12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</row>
    <row r="227" ht="10.5" customHeight="1">
      <c r="A227" s="127"/>
      <c r="B227" s="118"/>
      <c r="C227" s="128"/>
      <c r="D227" s="128"/>
      <c r="E227" s="128"/>
      <c r="F227" s="128"/>
      <c r="G227" s="128"/>
      <c r="H227" s="128"/>
      <c r="I227" s="12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</row>
    <row r="228" ht="10.5" customHeight="1">
      <c r="A228" s="127"/>
      <c r="B228" s="118"/>
      <c r="C228" s="128"/>
      <c r="D228" s="128"/>
      <c r="E228" s="128"/>
      <c r="F228" s="128"/>
      <c r="G228" s="128"/>
      <c r="H228" s="128"/>
      <c r="I228" s="12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</row>
    <row r="229" ht="10.5" customHeight="1">
      <c r="A229" s="127"/>
      <c r="B229" s="118"/>
      <c r="C229" s="128"/>
      <c r="D229" s="128"/>
      <c r="E229" s="128"/>
      <c r="F229" s="128"/>
      <c r="G229" s="128"/>
      <c r="H229" s="128"/>
      <c r="I229" s="12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</row>
    <row r="230" ht="10.5" customHeight="1">
      <c r="A230" s="127"/>
      <c r="B230" s="118"/>
      <c r="C230" s="128"/>
      <c r="D230" s="128"/>
      <c r="E230" s="128"/>
      <c r="F230" s="128"/>
      <c r="G230" s="128"/>
      <c r="H230" s="128"/>
      <c r="I230" s="12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</row>
    <row r="231" ht="10.5" customHeight="1">
      <c r="A231" s="127"/>
      <c r="B231" s="118"/>
      <c r="C231" s="128"/>
      <c r="D231" s="128"/>
      <c r="E231" s="128"/>
      <c r="F231" s="128"/>
      <c r="G231" s="128"/>
      <c r="H231" s="128"/>
      <c r="I231" s="12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</row>
    <row r="232" ht="10.5" customHeight="1">
      <c r="A232" s="127"/>
      <c r="B232" s="118"/>
      <c r="C232" s="128"/>
      <c r="D232" s="128"/>
      <c r="E232" s="128"/>
      <c r="F232" s="128"/>
      <c r="G232" s="128"/>
      <c r="H232" s="128"/>
      <c r="I232" s="12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</row>
    <row r="233" ht="10.5" customHeight="1">
      <c r="A233" s="127"/>
      <c r="B233" s="118"/>
      <c r="C233" s="128"/>
      <c r="D233" s="128"/>
      <c r="E233" s="128"/>
      <c r="F233" s="128"/>
      <c r="G233" s="128"/>
      <c r="H233" s="128"/>
      <c r="I233" s="12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</row>
    <row r="234" ht="10.5" customHeight="1">
      <c r="A234" s="127"/>
      <c r="B234" s="118"/>
      <c r="C234" s="128"/>
      <c r="D234" s="128"/>
      <c r="E234" s="128"/>
      <c r="F234" s="128"/>
      <c r="G234" s="128"/>
      <c r="H234" s="128"/>
      <c r="I234" s="12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</row>
    <row r="235" ht="10.5" customHeight="1">
      <c r="A235" s="127"/>
      <c r="B235" s="118"/>
      <c r="C235" s="128"/>
      <c r="D235" s="128"/>
      <c r="E235" s="128"/>
      <c r="F235" s="128"/>
      <c r="G235" s="128"/>
      <c r="H235" s="128"/>
      <c r="I235" s="12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</row>
    <row r="236" ht="10.5" customHeight="1">
      <c r="A236" s="127"/>
      <c r="B236" s="118"/>
      <c r="C236" s="128"/>
      <c r="D236" s="128"/>
      <c r="E236" s="128"/>
      <c r="F236" s="128"/>
      <c r="G236" s="128"/>
      <c r="H236" s="128"/>
      <c r="I236" s="12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</row>
    <row r="237" ht="10.5" customHeight="1">
      <c r="A237" s="127"/>
      <c r="B237" s="118"/>
      <c r="C237" s="128"/>
      <c r="D237" s="128"/>
      <c r="E237" s="128"/>
      <c r="F237" s="128"/>
      <c r="G237" s="128"/>
      <c r="H237" s="128"/>
      <c r="I237" s="12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</row>
    <row r="238" ht="10.5" customHeight="1">
      <c r="A238" s="127"/>
      <c r="B238" s="118"/>
      <c r="C238" s="128"/>
      <c r="D238" s="128"/>
      <c r="E238" s="128"/>
      <c r="F238" s="128"/>
      <c r="G238" s="128"/>
      <c r="H238" s="128"/>
      <c r="I238" s="12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</row>
    <row r="239" ht="10.5" customHeight="1">
      <c r="A239" s="127"/>
      <c r="B239" s="118"/>
      <c r="C239" s="128"/>
      <c r="D239" s="128"/>
      <c r="E239" s="128"/>
      <c r="F239" s="128"/>
      <c r="G239" s="128"/>
      <c r="H239" s="128"/>
      <c r="I239" s="12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</row>
    <row r="240" ht="10.5" customHeight="1">
      <c r="A240" s="127"/>
      <c r="B240" s="118"/>
      <c r="C240" s="128"/>
      <c r="D240" s="128"/>
      <c r="E240" s="128"/>
      <c r="F240" s="128"/>
      <c r="G240" s="128"/>
      <c r="H240" s="128"/>
      <c r="I240" s="12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</row>
    <row r="241" ht="10.5" customHeight="1">
      <c r="A241" s="127"/>
      <c r="B241" s="118"/>
      <c r="C241" s="128"/>
      <c r="D241" s="128"/>
      <c r="E241" s="128"/>
      <c r="F241" s="128"/>
      <c r="G241" s="128"/>
      <c r="H241" s="128"/>
      <c r="I241" s="12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</row>
    <row r="242" ht="10.5" customHeight="1">
      <c r="A242" s="127"/>
      <c r="B242" s="118"/>
      <c r="C242" s="128"/>
      <c r="D242" s="128"/>
      <c r="E242" s="128"/>
      <c r="F242" s="128"/>
      <c r="G242" s="128"/>
      <c r="H242" s="128"/>
      <c r="I242" s="12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</row>
    <row r="243" ht="10.5" customHeight="1">
      <c r="A243" s="127"/>
      <c r="B243" s="118"/>
      <c r="C243" s="128"/>
      <c r="D243" s="128"/>
      <c r="E243" s="128"/>
      <c r="F243" s="128"/>
      <c r="G243" s="128"/>
      <c r="H243" s="128"/>
      <c r="I243" s="12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</row>
    <row r="244" ht="10.5" customHeight="1">
      <c r="A244" s="127"/>
      <c r="B244" s="118"/>
      <c r="C244" s="128"/>
      <c r="D244" s="128"/>
      <c r="E244" s="128"/>
      <c r="F244" s="128"/>
      <c r="G244" s="128"/>
      <c r="H244" s="128"/>
      <c r="I244" s="12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</row>
    <row r="245" ht="10.5" customHeight="1">
      <c r="A245" s="127"/>
      <c r="B245" s="118"/>
      <c r="C245" s="128"/>
      <c r="D245" s="128"/>
      <c r="E245" s="128"/>
      <c r="F245" s="128"/>
      <c r="G245" s="128"/>
      <c r="H245" s="128"/>
      <c r="I245" s="12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</row>
    <row r="246" ht="10.5" customHeight="1">
      <c r="A246" s="127"/>
      <c r="B246" s="118"/>
      <c r="C246" s="128"/>
      <c r="D246" s="128"/>
      <c r="E246" s="128"/>
      <c r="F246" s="128"/>
      <c r="G246" s="128"/>
      <c r="H246" s="128"/>
      <c r="I246" s="12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</row>
    <row r="247" ht="10.5" customHeight="1">
      <c r="A247" s="127"/>
      <c r="B247" s="118"/>
      <c r="C247" s="128"/>
      <c r="D247" s="128"/>
      <c r="E247" s="128"/>
      <c r="F247" s="128"/>
      <c r="G247" s="128"/>
      <c r="H247" s="128"/>
      <c r="I247" s="12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</row>
    <row r="248" ht="10.5" customHeight="1">
      <c r="A248" s="127"/>
      <c r="B248" s="118"/>
      <c r="C248" s="128"/>
      <c r="D248" s="128"/>
      <c r="E248" s="128"/>
      <c r="F248" s="128"/>
      <c r="G248" s="128"/>
      <c r="H248" s="128"/>
      <c r="I248" s="12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</row>
    <row r="249" ht="10.5" customHeight="1">
      <c r="A249" s="127"/>
      <c r="B249" s="118"/>
      <c r="C249" s="128"/>
      <c r="D249" s="128"/>
      <c r="E249" s="128"/>
      <c r="F249" s="128"/>
      <c r="G249" s="128"/>
      <c r="H249" s="128"/>
      <c r="I249" s="12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</row>
    <row r="250" ht="10.5" customHeight="1">
      <c r="A250" s="127"/>
      <c r="B250" s="118"/>
      <c r="C250" s="128"/>
      <c r="D250" s="128"/>
      <c r="E250" s="128"/>
      <c r="F250" s="128"/>
      <c r="G250" s="128"/>
      <c r="H250" s="128"/>
      <c r="I250" s="12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</row>
    <row r="251" ht="10.5" customHeight="1">
      <c r="A251" s="127"/>
      <c r="B251" s="118"/>
      <c r="C251" s="128"/>
      <c r="D251" s="128"/>
      <c r="E251" s="128"/>
      <c r="F251" s="128"/>
      <c r="G251" s="128"/>
      <c r="H251" s="128"/>
      <c r="I251" s="12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</row>
    <row r="252" ht="10.5" customHeight="1">
      <c r="A252" s="127"/>
      <c r="B252" s="118"/>
      <c r="C252" s="128"/>
      <c r="D252" s="128"/>
      <c r="E252" s="128"/>
      <c r="F252" s="128"/>
      <c r="G252" s="128"/>
      <c r="H252" s="128"/>
      <c r="I252" s="12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</row>
    <row r="253" ht="10.5" customHeight="1">
      <c r="A253" s="127"/>
      <c r="B253" s="118"/>
      <c r="C253" s="128"/>
      <c r="D253" s="128"/>
      <c r="E253" s="128"/>
      <c r="F253" s="128"/>
      <c r="G253" s="128"/>
      <c r="H253" s="128"/>
      <c r="I253" s="12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</row>
    <row r="254" ht="10.5" customHeight="1">
      <c r="A254" s="127"/>
      <c r="B254" s="118"/>
      <c r="C254" s="128"/>
      <c r="D254" s="128"/>
      <c r="E254" s="128"/>
      <c r="F254" s="128"/>
      <c r="G254" s="128"/>
      <c r="H254" s="128"/>
      <c r="I254" s="12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</row>
    <row r="255" ht="10.5" customHeight="1">
      <c r="A255" s="127"/>
      <c r="B255" s="118"/>
      <c r="C255" s="128"/>
      <c r="D255" s="128"/>
      <c r="E255" s="128"/>
      <c r="F255" s="128"/>
      <c r="G255" s="128"/>
      <c r="H255" s="128"/>
      <c r="I255" s="12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</row>
    <row r="256" ht="10.5" customHeight="1">
      <c r="A256" s="127"/>
      <c r="B256" s="118"/>
      <c r="C256" s="128"/>
      <c r="D256" s="128"/>
      <c r="E256" s="128"/>
      <c r="F256" s="128"/>
      <c r="G256" s="128"/>
      <c r="H256" s="128"/>
      <c r="I256" s="12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</row>
    <row r="257" ht="10.5" customHeight="1">
      <c r="A257" s="127"/>
      <c r="B257" s="118"/>
      <c r="C257" s="128"/>
      <c r="D257" s="128"/>
      <c r="E257" s="128"/>
      <c r="F257" s="128"/>
      <c r="G257" s="128"/>
      <c r="H257" s="128"/>
      <c r="I257" s="12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</row>
    <row r="258" ht="10.5" customHeight="1">
      <c r="A258" s="127"/>
      <c r="B258" s="118"/>
      <c r="C258" s="128"/>
      <c r="D258" s="128"/>
      <c r="E258" s="128"/>
      <c r="F258" s="128"/>
      <c r="G258" s="128"/>
      <c r="H258" s="128"/>
      <c r="I258" s="12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</row>
    <row r="259" ht="10.5" customHeight="1">
      <c r="A259" s="127"/>
      <c r="B259" s="118"/>
      <c r="C259" s="128"/>
      <c r="D259" s="128"/>
      <c r="E259" s="128"/>
      <c r="F259" s="128"/>
      <c r="G259" s="128"/>
      <c r="H259" s="128"/>
      <c r="I259" s="12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</row>
    <row r="260" ht="10.5" customHeight="1">
      <c r="A260" s="127"/>
      <c r="B260" s="118"/>
      <c r="C260" s="128"/>
      <c r="D260" s="128"/>
      <c r="E260" s="128"/>
      <c r="F260" s="128"/>
      <c r="G260" s="128"/>
      <c r="H260" s="128"/>
      <c r="I260" s="12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</row>
    <row r="261" ht="10.5" customHeight="1">
      <c r="A261" s="127"/>
      <c r="B261" s="118"/>
      <c r="C261" s="128"/>
      <c r="D261" s="128"/>
      <c r="E261" s="128"/>
      <c r="F261" s="128"/>
      <c r="G261" s="128"/>
      <c r="H261" s="128"/>
      <c r="I261" s="12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</row>
    <row r="262" ht="10.5" customHeight="1">
      <c r="A262" s="127"/>
      <c r="B262" s="118"/>
      <c r="C262" s="128"/>
      <c r="D262" s="128"/>
      <c r="E262" s="128"/>
      <c r="F262" s="128"/>
      <c r="G262" s="128"/>
      <c r="H262" s="128"/>
      <c r="I262" s="12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</row>
    <row r="263" ht="10.5" customHeight="1">
      <c r="A263" s="127"/>
      <c r="B263" s="118"/>
      <c r="C263" s="128"/>
      <c r="D263" s="128"/>
      <c r="E263" s="128"/>
      <c r="F263" s="128"/>
      <c r="G263" s="128"/>
      <c r="H263" s="128"/>
      <c r="I263" s="12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</row>
    <row r="264" ht="10.5" customHeight="1">
      <c r="A264" s="127"/>
      <c r="B264" s="118"/>
      <c r="C264" s="128"/>
      <c r="D264" s="128"/>
      <c r="E264" s="128"/>
      <c r="F264" s="128"/>
      <c r="G264" s="128"/>
      <c r="H264" s="128"/>
      <c r="I264" s="12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</row>
    <row r="265" ht="10.5" customHeight="1">
      <c r="A265" s="127"/>
      <c r="B265" s="118"/>
      <c r="C265" s="128"/>
      <c r="D265" s="128"/>
      <c r="E265" s="128"/>
      <c r="F265" s="128"/>
      <c r="G265" s="128"/>
      <c r="H265" s="128"/>
      <c r="I265" s="12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</row>
    <row r="266" ht="10.5" customHeight="1">
      <c r="A266" s="127"/>
      <c r="B266" s="118"/>
      <c r="C266" s="128"/>
      <c r="D266" s="128"/>
      <c r="E266" s="128"/>
      <c r="F266" s="128"/>
      <c r="G266" s="128"/>
      <c r="H266" s="128"/>
      <c r="I266" s="12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</row>
    <row r="267" ht="10.5" customHeight="1">
      <c r="A267" s="127"/>
      <c r="B267" s="118"/>
      <c r="C267" s="128"/>
      <c r="D267" s="128"/>
      <c r="E267" s="128"/>
      <c r="F267" s="128"/>
      <c r="G267" s="128"/>
      <c r="H267" s="128"/>
      <c r="I267" s="12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</row>
    <row r="268" ht="10.5" customHeight="1">
      <c r="A268" s="127"/>
      <c r="B268" s="118"/>
      <c r="C268" s="128"/>
      <c r="D268" s="128"/>
      <c r="E268" s="128"/>
      <c r="F268" s="128"/>
      <c r="G268" s="128"/>
      <c r="H268" s="128"/>
      <c r="I268" s="12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</row>
    <row r="269" ht="10.5" customHeight="1">
      <c r="A269" s="127"/>
      <c r="B269" s="118"/>
      <c r="C269" s="128"/>
      <c r="D269" s="128"/>
      <c r="E269" s="128"/>
      <c r="F269" s="128"/>
      <c r="G269" s="128"/>
      <c r="H269" s="128"/>
      <c r="I269" s="12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</row>
    <row r="270" ht="10.5" customHeight="1">
      <c r="A270" s="127"/>
      <c r="B270" s="118"/>
      <c r="C270" s="128"/>
      <c r="D270" s="128"/>
      <c r="E270" s="128"/>
      <c r="F270" s="128"/>
      <c r="G270" s="128"/>
      <c r="H270" s="128"/>
      <c r="I270" s="12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</row>
    <row r="271" ht="10.5" customHeight="1">
      <c r="A271" s="127"/>
      <c r="B271" s="118"/>
      <c r="C271" s="128"/>
      <c r="D271" s="128"/>
      <c r="E271" s="128"/>
      <c r="F271" s="128"/>
      <c r="G271" s="128"/>
      <c r="H271" s="128"/>
      <c r="I271" s="12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</row>
    <row r="272" ht="10.5" customHeight="1">
      <c r="A272" s="127"/>
      <c r="B272" s="118"/>
      <c r="C272" s="128"/>
      <c r="D272" s="128"/>
      <c r="E272" s="128"/>
      <c r="F272" s="128"/>
      <c r="G272" s="128"/>
      <c r="H272" s="128"/>
      <c r="I272" s="12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</row>
    <row r="273" ht="10.5" customHeight="1">
      <c r="A273" s="127"/>
      <c r="B273" s="118"/>
      <c r="C273" s="128"/>
      <c r="D273" s="128"/>
      <c r="E273" s="128"/>
      <c r="F273" s="128"/>
      <c r="G273" s="128"/>
      <c r="H273" s="128"/>
      <c r="I273" s="12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</row>
    <row r="274" ht="10.5" customHeight="1">
      <c r="A274" s="127"/>
      <c r="B274" s="118"/>
      <c r="C274" s="128"/>
      <c r="D274" s="128"/>
      <c r="E274" s="128"/>
      <c r="F274" s="128"/>
      <c r="G274" s="128"/>
      <c r="H274" s="128"/>
      <c r="I274" s="12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</row>
    <row r="275" ht="10.5" customHeight="1">
      <c r="A275" s="127"/>
      <c r="B275" s="118"/>
      <c r="C275" s="128"/>
      <c r="D275" s="128"/>
      <c r="E275" s="128"/>
      <c r="F275" s="128"/>
      <c r="G275" s="128"/>
      <c r="H275" s="128"/>
      <c r="I275" s="12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</row>
    <row r="276" ht="10.5" customHeight="1">
      <c r="A276" s="127"/>
      <c r="B276" s="118"/>
      <c r="C276" s="128"/>
      <c r="D276" s="128"/>
      <c r="E276" s="128"/>
      <c r="F276" s="128"/>
      <c r="G276" s="128"/>
      <c r="H276" s="128"/>
      <c r="I276" s="12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</row>
    <row r="277" ht="10.5" customHeight="1">
      <c r="A277" s="127"/>
      <c r="B277" s="118"/>
      <c r="C277" s="128"/>
      <c r="D277" s="128"/>
      <c r="E277" s="128"/>
      <c r="F277" s="128"/>
      <c r="G277" s="128"/>
      <c r="H277" s="128"/>
      <c r="I277" s="12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</row>
    <row r="278" ht="10.5" customHeight="1">
      <c r="A278" s="127"/>
      <c r="B278" s="118"/>
      <c r="C278" s="128"/>
      <c r="D278" s="128"/>
      <c r="E278" s="128"/>
      <c r="F278" s="128"/>
      <c r="G278" s="128"/>
      <c r="H278" s="128"/>
      <c r="I278" s="12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</row>
    <row r="279" ht="10.5" customHeight="1">
      <c r="A279" s="127"/>
      <c r="B279" s="118"/>
      <c r="C279" s="128"/>
      <c r="D279" s="128"/>
      <c r="E279" s="128"/>
      <c r="F279" s="128"/>
      <c r="G279" s="128"/>
      <c r="H279" s="128"/>
      <c r="I279" s="12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</row>
    <row r="280" ht="10.5" customHeight="1">
      <c r="A280" s="127"/>
      <c r="B280" s="118"/>
      <c r="C280" s="128"/>
      <c r="D280" s="128"/>
      <c r="E280" s="128"/>
      <c r="F280" s="128"/>
      <c r="G280" s="128"/>
      <c r="H280" s="128"/>
      <c r="I280" s="12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</row>
    <row r="281" ht="10.5" customHeight="1">
      <c r="A281" s="127"/>
      <c r="B281" s="118"/>
      <c r="C281" s="128"/>
      <c r="D281" s="128"/>
      <c r="E281" s="128"/>
      <c r="F281" s="128"/>
      <c r="G281" s="128"/>
      <c r="H281" s="128"/>
      <c r="I281" s="12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</row>
    <row r="282" ht="10.5" customHeight="1">
      <c r="A282" s="127"/>
      <c r="B282" s="118"/>
      <c r="C282" s="128"/>
      <c r="D282" s="128"/>
      <c r="E282" s="128"/>
      <c r="F282" s="128"/>
      <c r="G282" s="128"/>
      <c r="H282" s="128"/>
      <c r="I282" s="12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</row>
    <row r="283" ht="10.5" customHeight="1">
      <c r="A283" s="127"/>
      <c r="B283" s="118"/>
      <c r="C283" s="128"/>
      <c r="D283" s="128"/>
      <c r="E283" s="128"/>
      <c r="F283" s="128"/>
      <c r="G283" s="128"/>
      <c r="H283" s="128"/>
      <c r="I283" s="12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</row>
    <row r="284" ht="10.5" customHeight="1">
      <c r="A284" s="127"/>
      <c r="B284" s="118"/>
      <c r="C284" s="128"/>
      <c r="D284" s="128"/>
      <c r="E284" s="128"/>
      <c r="F284" s="128"/>
      <c r="G284" s="128"/>
      <c r="H284" s="128"/>
      <c r="I284" s="12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</row>
    <row r="285" ht="10.5" customHeight="1">
      <c r="A285" s="127"/>
      <c r="B285" s="118"/>
      <c r="C285" s="128"/>
      <c r="D285" s="128"/>
      <c r="E285" s="128"/>
      <c r="F285" s="128"/>
      <c r="G285" s="128"/>
      <c r="H285" s="128"/>
      <c r="I285" s="12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</row>
    <row r="286" ht="10.5" customHeight="1">
      <c r="A286" s="127"/>
      <c r="B286" s="118"/>
      <c r="C286" s="128"/>
      <c r="D286" s="128"/>
      <c r="E286" s="128"/>
      <c r="F286" s="128"/>
      <c r="G286" s="128"/>
      <c r="H286" s="128"/>
      <c r="I286" s="12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</row>
    <row r="287" ht="10.5" customHeight="1">
      <c r="A287" s="127"/>
      <c r="B287" s="118"/>
      <c r="C287" s="128"/>
      <c r="D287" s="128"/>
      <c r="E287" s="128"/>
      <c r="F287" s="128"/>
      <c r="G287" s="128"/>
      <c r="H287" s="128"/>
      <c r="I287" s="12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</row>
    <row r="288" ht="10.5" customHeight="1">
      <c r="A288" s="127"/>
      <c r="B288" s="118"/>
      <c r="C288" s="128"/>
      <c r="D288" s="128"/>
      <c r="E288" s="128"/>
      <c r="F288" s="128"/>
      <c r="G288" s="128"/>
      <c r="H288" s="128"/>
      <c r="I288" s="12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</row>
    <row r="289" ht="10.5" customHeight="1">
      <c r="A289" s="127"/>
      <c r="B289" s="118"/>
      <c r="C289" s="128"/>
      <c r="D289" s="128"/>
      <c r="E289" s="128"/>
      <c r="F289" s="128"/>
      <c r="G289" s="128"/>
      <c r="H289" s="128"/>
      <c r="I289" s="12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</row>
    <row r="290" ht="10.5" customHeight="1">
      <c r="A290" s="127"/>
      <c r="B290" s="118"/>
      <c r="C290" s="128"/>
      <c r="D290" s="128"/>
      <c r="E290" s="128"/>
      <c r="F290" s="128"/>
      <c r="G290" s="128"/>
      <c r="H290" s="128"/>
      <c r="I290" s="12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</row>
    <row r="291" ht="10.5" customHeight="1">
      <c r="A291" s="127"/>
      <c r="B291" s="118"/>
      <c r="C291" s="128"/>
      <c r="D291" s="128"/>
      <c r="E291" s="128"/>
      <c r="F291" s="128"/>
      <c r="G291" s="128"/>
      <c r="H291" s="128"/>
      <c r="I291" s="12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</row>
    <row r="292" ht="10.5" customHeight="1">
      <c r="A292" s="127"/>
      <c r="B292" s="118"/>
      <c r="C292" s="128"/>
      <c r="D292" s="128"/>
      <c r="E292" s="128"/>
      <c r="F292" s="128"/>
      <c r="G292" s="128"/>
      <c r="H292" s="128"/>
      <c r="I292" s="12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</row>
    <row r="293" ht="10.5" customHeight="1">
      <c r="A293" s="127"/>
      <c r="B293" s="118"/>
      <c r="C293" s="128"/>
      <c r="D293" s="128"/>
      <c r="E293" s="128"/>
      <c r="F293" s="128"/>
      <c r="G293" s="128"/>
      <c r="H293" s="128"/>
      <c r="I293" s="12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</row>
    <row r="294" ht="10.5" customHeight="1">
      <c r="A294" s="127"/>
      <c r="B294" s="118"/>
      <c r="C294" s="128"/>
      <c r="D294" s="128"/>
      <c r="E294" s="128"/>
      <c r="F294" s="128"/>
      <c r="G294" s="128"/>
      <c r="H294" s="128"/>
      <c r="I294" s="12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</row>
    <row r="295" ht="10.5" customHeight="1">
      <c r="A295" s="127"/>
      <c r="B295" s="118"/>
      <c r="C295" s="128"/>
      <c r="D295" s="128"/>
      <c r="E295" s="128"/>
      <c r="F295" s="128"/>
      <c r="G295" s="128"/>
      <c r="H295" s="128"/>
      <c r="I295" s="12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</row>
    <row r="296" ht="10.5" customHeight="1">
      <c r="A296" s="127"/>
      <c r="B296" s="118"/>
      <c r="C296" s="128"/>
      <c r="D296" s="128"/>
      <c r="E296" s="128"/>
      <c r="F296" s="128"/>
      <c r="G296" s="128"/>
      <c r="H296" s="128"/>
      <c r="I296" s="12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</row>
    <row r="297" ht="10.5" customHeight="1">
      <c r="A297" s="127"/>
      <c r="B297" s="118"/>
      <c r="C297" s="128"/>
      <c r="D297" s="128"/>
      <c r="E297" s="128"/>
      <c r="F297" s="128"/>
      <c r="G297" s="128"/>
      <c r="H297" s="128"/>
      <c r="I297" s="12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</row>
    <row r="298" ht="10.5" customHeight="1">
      <c r="A298" s="127"/>
      <c r="B298" s="118"/>
      <c r="C298" s="128"/>
      <c r="D298" s="128"/>
      <c r="E298" s="128"/>
      <c r="F298" s="128"/>
      <c r="G298" s="128"/>
      <c r="H298" s="128"/>
      <c r="I298" s="12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</row>
    <row r="299" ht="10.5" customHeight="1">
      <c r="A299" s="127"/>
      <c r="B299" s="118"/>
      <c r="C299" s="128"/>
      <c r="D299" s="128"/>
      <c r="E299" s="128"/>
      <c r="F299" s="128"/>
      <c r="G299" s="128"/>
      <c r="H299" s="128"/>
      <c r="I299" s="12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</row>
    <row r="300" ht="10.5" customHeight="1">
      <c r="A300" s="127"/>
      <c r="B300" s="118"/>
      <c r="C300" s="128"/>
      <c r="D300" s="128"/>
      <c r="E300" s="128"/>
      <c r="F300" s="128"/>
      <c r="G300" s="128"/>
      <c r="H300" s="128"/>
      <c r="I300" s="12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</row>
    <row r="301" ht="10.5" customHeight="1">
      <c r="A301" s="127"/>
      <c r="B301" s="118"/>
      <c r="C301" s="128"/>
      <c r="D301" s="128"/>
      <c r="E301" s="128"/>
      <c r="F301" s="128"/>
      <c r="G301" s="128"/>
      <c r="H301" s="128"/>
      <c r="I301" s="12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</row>
    <row r="302" ht="10.5" customHeight="1">
      <c r="A302" s="127"/>
      <c r="B302" s="118"/>
      <c r="C302" s="128"/>
      <c r="D302" s="128"/>
      <c r="E302" s="128"/>
      <c r="F302" s="128"/>
      <c r="G302" s="128"/>
      <c r="H302" s="128"/>
      <c r="I302" s="12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</row>
    <row r="303" ht="10.5" customHeight="1">
      <c r="A303" s="127"/>
      <c r="B303" s="118"/>
      <c r="C303" s="128"/>
      <c r="D303" s="128"/>
      <c r="E303" s="128"/>
      <c r="F303" s="128"/>
      <c r="G303" s="128"/>
      <c r="H303" s="128"/>
      <c r="I303" s="12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</row>
    <row r="304" ht="10.5" customHeight="1">
      <c r="A304" s="127"/>
      <c r="B304" s="118"/>
      <c r="C304" s="128"/>
      <c r="D304" s="128"/>
      <c r="E304" s="128"/>
      <c r="F304" s="128"/>
      <c r="G304" s="128"/>
      <c r="H304" s="128"/>
      <c r="I304" s="12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</row>
    <row r="305" ht="10.5" customHeight="1">
      <c r="A305" s="127"/>
      <c r="B305" s="118"/>
      <c r="C305" s="128"/>
      <c r="D305" s="128"/>
      <c r="E305" s="128"/>
      <c r="F305" s="128"/>
      <c r="G305" s="128"/>
      <c r="H305" s="128"/>
      <c r="I305" s="12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</row>
    <row r="306" ht="10.5" customHeight="1">
      <c r="A306" s="127"/>
      <c r="B306" s="118"/>
      <c r="C306" s="128"/>
      <c r="D306" s="128"/>
      <c r="E306" s="128"/>
      <c r="F306" s="128"/>
      <c r="G306" s="128"/>
      <c r="H306" s="128"/>
      <c r="I306" s="12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</row>
    <row r="307" ht="10.5" customHeight="1">
      <c r="A307" s="127"/>
      <c r="B307" s="118"/>
      <c r="C307" s="128"/>
      <c r="D307" s="128"/>
      <c r="E307" s="128"/>
      <c r="F307" s="128"/>
      <c r="G307" s="128"/>
      <c r="H307" s="128"/>
      <c r="I307" s="12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</row>
    <row r="308" ht="10.5" customHeight="1">
      <c r="A308" s="127"/>
      <c r="B308" s="118"/>
      <c r="C308" s="128"/>
      <c r="D308" s="128"/>
      <c r="E308" s="128"/>
      <c r="F308" s="128"/>
      <c r="G308" s="128"/>
      <c r="H308" s="128"/>
      <c r="I308" s="12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</row>
    <row r="309" ht="10.5" customHeight="1">
      <c r="A309" s="127"/>
      <c r="B309" s="118"/>
      <c r="C309" s="128"/>
      <c r="D309" s="128"/>
      <c r="E309" s="128"/>
      <c r="F309" s="128"/>
      <c r="G309" s="128"/>
      <c r="H309" s="128"/>
      <c r="I309" s="12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</row>
    <row r="310" ht="10.5" customHeight="1">
      <c r="A310" s="127"/>
      <c r="B310" s="118"/>
      <c r="C310" s="128"/>
      <c r="D310" s="128"/>
      <c r="E310" s="128"/>
      <c r="F310" s="128"/>
      <c r="G310" s="128"/>
      <c r="H310" s="128"/>
      <c r="I310" s="12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</row>
    <row r="311" ht="10.5" customHeight="1">
      <c r="A311" s="127"/>
      <c r="B311" s="118"/>
      <c r="C311" s="128"/>
      <c r="D311" s="128"/>
      <c r="E311" s="128"/>
      <c r="F311" s="128"/>
      <c r="G311" s="128"/>
      <c r="H311" s="128"/>
      <c r="I311" s="12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</row>
    <row r="312" ht="10.5" customHeight="1">
      <c r="A312" s="127"/>
      <c r="B312" s="118"/>
      <c r="C312" s="128"/>
      <c r="D312" s="128"/>
      <c r="E312" s="128"/>
      <c r="F312" s="128"/>
      <c r="G312" s="128"/>
      <c r="H312" s="128"/>
      <c r="I312" s="12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</row>
    <row r="313" ht="10.5" customHeight="1">
      <c r="A313" s="127"/>
      <c r="B313" s="118"/>
      <c r="C313" s="128"/>
      <c r="D313" s="128"/>
      <c r="E313" s="128"/>
      <c r="F313" s="128"/>
      <c r="G313" s="128"/>
      <c r="H313" s="128"/>
      <c r="I313" s="12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</row>
    <row r="314" ht="10.5" customHeight="1">
      <c r="A314" s="127"/>
      <c r="B314" s="118"/>
      <c r="C314" s="128"/>
      <c r="D314" s="128"/>
      <c r="E314" s="128"/>
      <c r="F314" s="128"/>
      <c r="G314" s="128"/>
      <c r="H314" s="128"/>
      <c r="I314" s="12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</row>
    <row r="315" ht="10.5" customHeight="1">
      <c r="A315" s="127"/>
      <c r="B315" s="118"/>
      <c r="C315" s="128"/>
      <c r="D315" s="128"/>
      <c r="E315" s="128"/>
      <c r="F315" s="128"/>
      <c r="G315" s="128"/>
      <c r="H315" s="128"/>
      <c r="I315" s="12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</row>
    <row r="316" ht="10.5" customHeight="1">
      <c r="A316" s="127"/>
      <c r="B316" s="118"/>
      <c r="C316" s="128"/>
      <c r="D316" s="128"/>
      <c r="E316" s="128"/>
      <c r="F316" s="128"/>
      <c r="G316" s="128"/>
      <c r="H316" s="128"/>
      <c r="I316" s="12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</row>
    <row r="317" ht="10.5" customHeight="1">
      <c r="A317" s="127"/>
      <c r="B317" s="118"/>
      <c r="C317" s="128"/>
      <c r="D317" s="128"/>
      <c r="E317" s="128"/>
      <c r="F317" s="128"/>
      <c r="G317" s="128"/>
      <c r="H317" s="128"/>
      <c r="I317" s="12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</row>
    <row r="318" ht="10.5" customHeight="1">
      <c r="A318" s="127"/>
      <c r="B318" s="118"/>
      <c r="C318" s="128"/>
      <c r="D318" s="128"/>
      <c r="E318" s="128"/>
      <c r="F318" s="128"/>
      <c r="G318" s="128"/>
      <c r="H318" s="128"/>
      <c r="I318" s="12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</row>
    <row r="319" ht="10.5" customHeight="1">
      <c r="A319" s="127"/>
      <c r="B319" s="118"/>
      <c r="C319" s="128"/>
      <c r="D319" s="128"/>
      <c r="E319" s="128"/>
      <c r="F319" s="128"/>
      <c r="G319" s="128"/>
      <c r="H319" s="128"/>
      <c r="I319" s="12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</row>
    <row r="320" ht="10.5" customHeight="1">
      <c r="A320" s="127"/>
      <c r="B320" s="118"/>
      <c r="C320" s="128"/>
      <c r="D320" s="128"/>
      <c r="E320" s="128"/>
      <c r="F320" s="128"/>
      <c r="G320" s="128"/>
      <c r="H320" s="128"/>
      <c r="I320" s="12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</row>
    <row r="321" ht="10.5" customHeight="1">
      <c r="A321" s="127"/>
      <c r="B321" s="118"/>
      <c r="C321" s="128"/>
      <c r="D321" s="128"/>
      <c r="E321" s="128"/>
      <c r="F321" s="128"/>
      <c r="G321" s="128"/>
      <c r="H321" s="128"/>
      <c r="I321" s="12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</row>
    <row r="322" ht="10.5" customHeight="1">
      <c r="A322" s="127"/>
      <c r="B322" s="118"/>
      <c r="C322" s="128"/>
      <c r="D322" s="128"/>
      <c r="E322" s="128"/>
      <c r="F322" s="128"/>
      <c r="G322" s="128"/>
      <c r="H322" s="128"/>
      <c r="I322" s="12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</row>
    <row r="323" ht="10.5" customHeight="1">
      <c r="A323" s="127"/>
      <c r="B323" s="118"/>
      <c r="C323" s="128"/>
      <c r="D323" s="128"/>
      <c r="E323" s="128"/>
      <c r="F323" s="128"/>
      <c r="G323" s="128"/>
      <c r="H323" s="128"/>
      <c r="I323" s="12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</row>
    <row r="324" ht="10.5" customHeight="1">
      <c r="A324" s="127"/>
      <c r="B324" s="118"/>
      <c r="C324" s="128"/>
      <c r="D324" s="128"/>
      <c r="E324" s="128"/>
      <c r="F324" s="128"/>
      <c r="G324" s="128"/>
      <c r="H324" s="128"/>
      <c r="I324" s="12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</row>
    <row r="325" ht="10.5" customHeight="1">
      <c r="A325" s="127"/>
      <c r="B325" s="118"/>
      <c r="C325" s="128"/>
      <c r="D325" s="128"/>
      <c r="E325" s="128"/>
      <c r="F325" s="128"/>
      <c r="G325" s="128"/>
      <c r="H325" s="128"/>
      <c r="I325" s="12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</row>
    <row r="326" ht="10.5" customHeight="1">
      <c r="A326" s="127"/>
      <c r="B326" s="118"/>
      <c r="C326" s="128"/>
      <c r="D326" s="128"/>
      <c r="E326" s="128"/>
      <c r="F326" s="128"/>
      <c r="G326" s="128"/>
      <c r="H326" s="128"/>
      <c r="I326" s="12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</row>
    <row r="327" ht="10.5" customHeight="1">
      <c r="A327" s="127"/>
      <c r="B327" s="118"/>
      <c r="C327" s="128"/>
      <c r="D327" s="128"/>
      <c r="E327" s="128"/>
      <c r="F327" s="128"/>
      <c r="G327" s="128"/>
      <c r="H327" s="128"/>
      <c r="I327" s="12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</row>
    <row r="328" ht="10.5" customHeight="1">
      <c r="A328" s="127"/>
      <c r="B328" s="118"/>
      <c r="C328" s="128"/>
      <c r="D328" s="128"/>
      <c r="E328" s="128"/>
      <c r="F328" s="128"/>
      <c r="G328" s="128"/>
      <c r="H328" s="128"/>
      <c r="I328" s="12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</row>
    <row r="329" ht="10.5" customHeight="1">
      <c r="A329" s="127"/>
      <c r="B329" s="118"/>
      <c r="C329" s="128"/>
      <c r="D329" s="128"/>
      <c r="E329" s="128"/>
      <c r="F329" s="128"/>
      <c r="G329" s="128"/>
      <c r="H329" s="128"/>
      <c r="I329" s="12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</row>
    <row r="330" ht="10.5" customHeight="1">
      <c r="A330" s="127"/>
      <c r="B330" s="118"/>
      <c r="C330" s="128"/>
      <c r="D330" s="128"/>
      <c r="E330" s="128"/>
      <c r="F330" s="128"/>
      <c r="G330" s="128"/>
      <c r="H330" s="128"/>
      <c r="I330" s="12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</row>
    <row r="331" ht="10.5" customHeight="1">
      <c r="A331" s="127"/>
      <c r="B331" s="118"/>
      <c r="C331" s="128"/>
      <c r="D331" s="128"/>
      <c r="E331" s="128"/>
      <c r="F331" s="128"/>
      <c r="G331" s="128"/>
      <c r="H331" s="128"/>
      <c r="I331" s="12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</row>
    <row r="332" ht="10.5" customHeight="1">
      <c r="A332" s="127"/>
      <c r="B332" s="118"/>
      <c r="C332" s="128"/>
      <c r="D332" s="128"/>
      <c r="E332" s="128"/>
      <c r="F332" s="128"/>
      <c r="G332" s="128"/>
      <c r="H332" s="128"/>
      <c r="I332" s="12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</row>
    <row r="333" ht="10.5" customHeight="1">
      <c r="A333" s="127"/>
      <c r="B333" s="118"/>
      <c r="C333" s="128"/>
      <c r="D333" s="128"/>
      <c r="E333" s="128"/>
      <c r="F333" s="128"/>
      <c r="G333" s="128"/>
      <c r="H333" s="128"/>
      <c r="I333" s="12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</row>
    <row r="334" ht="10.5" customHeight="1">
      <c r="A334" s="127"/>
      <c r="B334" s="118"/>
      <c r="C334" s="128"/>
      <c r="D334" s="128"/>
      <c r="E334" s="128"/>
      <c r="F334" s="128"/>
      <c r="G334" s="128"/>
      <c r="H334" s="128"/>
      <c r="I334" s="12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</row>
    <row r="335" ht="10.5" customHeight="1">
      <c r="A335" s="127"/>
      <c r="B335" s="118"/>
      <c r="C335" s="128"/>
      <c r="D335" s="128"/>
      <c r="E335" s="128"/>
      <c r="F335" s="128"/>
      <c r="G335" s="128"/>
      <c r="H335" s="128"/>
      <c r="I335" s="12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</row>
    <row r="336" ht="10.5" customHeight="1">
      <c r="A336" s="127"/>
      <c r="B336" s="118"/>
      <c r="C336" s="128"/>
      <c r="D336" s="128"/>
      <c r="E336" s="128"/>
      <c r="F336" s="128"/>
      <c r="G336" s="128"/>
      <c r="H336" s="128"/>
      <c r="I336" s="12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</row>
    <row r="337" ht="10.5" customHeight="1">
      <c r="A337" s="127"/>
      <c r="B337" s="118"/>
      <c r="C337" s="128"/>
      <c r="D337" s="128"/>
      <c r="E337" s="128"/>
      <c r="F337" s="128"/>
      <c r="G337" s="128"/>
      <c r="H337" s="128"/>
      <c r="I337" s="12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</row>
    <row r="338" ht="10.5" customHeight="1">
      <c r="A338" s="127"/>
      <c r="B338" s="118"/>
      <c r="C338" s="128"/>
      <c r="D338" s="128"/>
      <c r="E338" s="128"/>
      <c r="F338" s="128"/>
      <c r="G338" s="128"/>
      <c r="H338" s="128"/>
      <c r="I338" s="12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</row>
    <row r="339" ht="10.5" customHeight="1">
      <c r="A339" s="127"/>
      <c r="B339" s="118"/>
      <c r="C339" s="128"/>
      <c r="D339" s="128"/>
      <c r="E339" s="128"/>
      <c r="F339" s="128"/>
      <c r="G339" s="128"/>
      <c r="H339" s="128"/>
      <c r="I339" s="12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</row>
    <row r="340" ht="10.5" customHeight="1">
      <c r="A340" s="127"/>
      <c r="B340" s="118"/>
      <c r="C340" s="128"/>
      <c r="D340" s="128"/>
      <c r="E340" s="128"/>
      <c r="F340" s="128"/>
      <c r="G340" s="128"/>
      <c r="H340" s="128"/>
      <c r="I340" s="12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</row>
    <row r="341" ht="10.5" customHeight="1">
      <c r="A341" s="127"/>
      <c r="B341" s="118"/>
      <c r="C341" s="128"/>
      <c r="D341" s="128"/>
      <c r="E341" s="128"/>
      <c r="F341" s="128"/>
      <c r="G341" s="128"/>
      <c r="H341" s="128"/>
      <c r="I341" s="12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</row>
    <row r="342" ht="10.5" customHeight="1">
      <c r="A342" s="127"/>
      <c r="B342" s="118"/>
      <c r="C342" s="128"/>
      <c r="D342" s="128"/>
      <c r="E342" s="128"/>
      <c r="F342" s="128"/>
      <c r="G342" s="128"/>
      <c r="H342" s="128"/>
      <c r="I342" s="12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</row>
    <row r="343" ht="10.5" customHeight="1">
      <c r="A343" s="127"/>
      <c r="B343" s="118"/>
      <c r="C343" s="128"/>
      <c r="D343" s="128"/>
      <c r="E343" s="128"/>
      <c r="F343" s="128"/>
      <c r="G343" s="128"/>
      <c r="H343" s="128"/>
      <c r="I343" s="12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</row>
    <row r="344" ht="10.5" customHeight="1">
      <c r="A344" s="127"/>
      <c r="B344" s="118"/>
      <c r="C344" s="128"/>
      <c r="D344" s="128"/>
      <c r="E344" s="128"/>
      <c r="F344" s="128"/>
      <c r="G344" s="128"/>
      <c r="H344" s="128"/>
      <c r="I344" s="12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</row>
    <row r="345" ht="10.5" customHeight="1">
      <c r="A345" s="127"/>
      <c r="B345" s="118"/>
      <c r="C345" s="128"/>
      <c r="D345" s="128"/>
      <c r="E345" s="128"/>
      <c r="F345" s="128"/>
      <c r="G345" s="128"/>
      <c r="H345" s="128"/>
      <c r="I345" s="12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</row>
    <row r="346" ht="10.5" customHeight="1">
      <c r="A346" s="127"/>
      <c r="B346" s="118"/>
      <c r="C346" s="128"/>
      <c r="D346" s="128"/>
      <c r="E346" s="128"/>
      <c r="F346" s="128"/>
      <c r="G346" s="128"/>
      <c r="H346" s="128"/>
      <c r="I346" s="12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</row>
    <row r="347" ht="10.5" customHeight="1">
      <c r="A347" s="127"/>
      <c r="B347" s="118"/>
      <c r="C347" s="128"/>
      <c r="D347" s="128"/>
      <c r="E347" s="128"/>
      <c r="F347" s="128"/>
      <c r="G347" s="128"/>
      <c r="H347" s="128"/>
      <c r="I347" s="12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</row>
    <row r="348" ht="10.5" customHeight="1">
      <c r="A348" s="127"/>
      <c r="B348" s="118"/>
      <c r="C348" s="128"/>
      <c r="D348" s="128"/>
      <c r="E348" s="128"/>
      <c r="F348" s="128"/>
      <c r="G348" s="128"/>
      <c r="H348" s="128"/>
      <c r="I348" s="12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</row>
    <row r="349" ht="10.5" customHeight="1">
      <c r="A349" s="127"/>
      <c r="B349" s="118"/>
      <c r="C349" s="128"/>
      <c r="D349" s="128"/>
      <c r="E349" s="128"/>
      <c r="F349" s="128"/>
      <c r="G349" s="128"/>
      <c r="H349" s="128"/>
      <c r="I349" s="12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</row>
    <row r="350" ht="10.5" customHeight="1">
      <c r="A350" s="127"/>
      <c r="B350" s="118"/>
      <c r="C350" s="128"/>
      <c r="D350" s="128"/>
      <c r="E350" s="128"/>
      <c r="F350" s="128"/>
      <c r="G350" s="128"/>
      <c r="H350" s="128"/>
      <c r="I350" s="12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</row>
    <row r="351" ht="10.5" customHeight="1">
      <c r="A351" s="127"/>
      <c r="B351" s="118"/>
      <c r="C351" s="128"/>
      <c r="D351" s="128"/>
      <c r="E351" s="128"/>
      <c r="F351" s="128"/>
      <c r="G351" s="128"/>
      <c r="H351" s="128"/>
      <c r="I351" s="12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</row>
    <row r="352" ht="10.5" customHeight="1">
      <c r="A352" s="127"/>
      <c r="B352" s="118"/>
      <c r="C352" s="128"/>
      <c r="D352" s="128"/>
      <c r="E352" s="128"/>
      <c r="F352" s="128"/>
      <c r="G352" s="128"/>
      <c r="H352" s="128"/>
      <c r="I352" s="12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</row>
    <row r="353" ht="10.5" customHeight="1">
      <c r="A353" s="127"/>
      <c r="B353" s="118"/>
      <c r="C353" s="128"/>
      <c r="D353" s="128"/>
      <c r="E353" s="128"/>
      <c r="F353" s="128"/>
      <c r="G353" s="128"/>
      <c r="H353" s="128"/>
      <c r="I353" s="12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</row>
    <row r="354" ht="10.5" customHeight="1">
      <c r="A354" s="127"/>
      <c r="B354" s="118"/>
      <c r="C354" s="128"/>
      <c r="D354" s="128"/>
      <c r="E354" s="128"/>
      <c r="F354" s="128"/>
      <c r="G354" s="128"/>
      <c r="H354" s="128"/>
      <c r="I354" s="12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</row>
    <row r="355" ht="10.5" customHeight="1">
      <c r="A355" s="127"/>
      <c r="B355" s="118"/>
      <c r="C355" s="128"/>
      <c r="D355" s="128"/>
      <c r="E355" s="128"/>
      <c r="F355" s="128"/>
      <c r="G355" s="128"/>
      <c r="H355" s="128"/>
      <c r="I355" s="12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</row>
    <row r="356" ht="10.5" customHeight="1">
      <c r="A356" s="127"/>
      <c r="B356" s="118"/>
      <c r="C356" s="128"/>
      <c r="D356" s="128"/>
      <c r="E356" s="128"/>
      <c r="F356" s="128"/>
      <c r="G356" s="128"/>
      <c r="H356" s="128"/>
      <c r="I356" s="12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</row>
    <row r="357" ht="10.5" customHeight="1">
      <c r="A357" s="127"/>
      <c r="B357" s="118"/>
      <c r="C357" s="128"/>
      <c r="D357" s="128"/>
      <c r="E357" s="128"/>
      <c r="F357" s="128"/>
      <c r="G357" s="128"/>
      <c r="H357" s="128"/>
      <c r="I357" s="12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</row>
    <row r="358" ht="10.5" customHeight="1">
      <c r="A358" s="127"/>
      <c r="B358" s="118"/>
      <c r="C358" s="128"/>
      <c r="D358" s="128"/>
      <c r="E358" s="128"/>
      <c r="F358" s="128"/>
      <c r="G358" s="128"/>
      <c r="H358" s="128"/>
      <c r="I358" s="12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</row>
    <row r="359" ht="10.5" customHeight="1">
      <c r="A359" s="127"/>
      <c r="B359" s="118"/>
      <c r="C359" s="128"/>
      <c r="D359" s="128"/>
      <c r="E359" s="128"/>
      <c r="F359" s="128"/>
      <c r="G359" s="128"/>
      <c r="H359" s="128"/>
      <c r="I359" s="12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</row>
    <row r="360" ht="10.5" customHeight="1">
      <c r="A360" s="127"/>
      <c r="B360" s="118"/>
      <c r="C360" s="128"/>
      <c r="D360" s="128"/>
      <c r="E360" s="128"/>
      <c r="F360" s="128"/>
      <c r="G360" s="128"/>
      <c r="H360" s="128"/>
      <c r="I360" s="12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</row>
    <row r="361" ht="10.5" customHeight="1">
      <c r="A361" s="127"/>
      <c r="B361" s="118"/>
      <c r="C361" s="128"/>
      <c r="D361" s="128"/>
      <c r="E361" s="128"/>
      <c r="F361" s="128"/>
      <c r="G361" s="128"/>
      <c r="H361" s="128"/>
      <c r="I361" s="12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</row>
    <row r="362" ht="10.5" customHeight="1">
      <c r="A362" s="127"/>
      <c r="B362" s="118"/>
      <c r="C362" s="128"/>
      <c r="D362" s="128"/>
      <c r="E362" s="128"/>
      <c r="F362" s="128"/>
      <c r="G362" s="128"/>
      <c r="H362" s="128"/>
      <c r="I362" s="12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</row>
    <row r="363" ht="10.5" customHeight="1">
      <c r="A363" s="127"/>
      <c r="B363" s="118"/>
      <c r="C363" s="128"/>
      <c r="D363" s="128"/>
      <c r="E363" s="128"/>
      <c r="F363" s="128"/>
      <c r="G363" s="128"/>
      <c r="H363" s="128"/>
      <c r="I363" s="12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</row>
    <row r="364" ht="10.5" customHeight="1">
      <c r="A364" s="127"/>
      <c r="B364" s="118"/>
      <c r="C364" s="128"/>
      <c r="D364" s="128"/>
      <c r="E364" s="128"/>
      <c r="F364" s="128"/>
      <c r="G364" s="128"/>
      <c r="H364" s="128"/>
      <c r="I364" s="12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</row>
    <row r="365" ht="10.5" customHeight="1">
      <c r="A365" s="127"/>
      <c r="B365" s="118"/>
      <c r="C365" s="128"/>
      <c r="D365" s="128"/>
      <c r="E365" s="128"/>
      <c r="F365" s="128"/>
      <c r="G365" s="128"/>
      <c r="H365" s="128"/>
      <c r="I365" s="12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</row>
    <row r="366" ht="10.5" customHeight="1">
      <c r="A366" s="127"/>
      <c r="B366" s="118"/>
      <c r="C366" s="128"/>
      <c r="D366" s="128"/>
      <c r="E366" s="128"/>
      <c r="F366" s="128"/>
      <c r="G366" s="128"/>
      <c r="H366" s="128"/>
      <c r="I366" s="12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</row>
    <row r="367" ht="10.5" customHeight="1">
      <c r="A367" s="127"/>
      <c r="B367" s="118"/>
      <c r="C367" s="128"/>
      <c r="D367" s="128"/>
      <c r="E367" s="128"/>
      <c r="F367" s="128"/>
      <c r="G367" s="128"/>
      <c r="H367" s="128"/>
      <c r="I367" s="12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</row>
    <row r="368" ht="10.5" customHeight="1">
      <c r="A368" s="127"/>
      <c r="B368" s="118"/>
      <c r="C368" s="128"/>
      <c r="D368" s="128"/>
      <c r="E368" s="128"/>
      <c r="F368" s="128"/>
      <c r="G368" s="128"/>
      <c r="H368" s="128"/>
      <c r="I368" s="12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</row>
    <row r="369" ht="10.5" customHeight="1">
      <c r="A369" s="127"/>
      <c r="B369" s="118"/>
      <c r="C369" s="128"/>
      <c r="D369" s="128"/>
      <c r="E369" s="128"/>
      <c r="F369" s="128"/>
      <c r="G369" s="128"/>
      <c r="H369" s="128"/>
      <c r="I369" s="12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</row>
    <row r="370" ht="10.5" customHeight="1">
      <c r="A370" s="127"/>
      <c r="B370" s="118"/>
      <c r="C370" s="128"/>
      <c r="D370" s="128"/>
      <c r="E370" s="128"/>
      <c r="F370" s="128"/>
      <c r="G370" s="128"/>
      <c r="H370" s="128"/>
      <c r="I370" s="12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</row>
    <row r="371" ht="10.5" customHeight="1">
      <c r="A371" s="127"/>
      <c r="B371" s="118"/>
      <c r="C371" s="128"/>
      <c r="D371" s="128"/>
      <c r="E371" s="128"/>
      <c r="F371" s="128"/>
      <c r="G371" s="128"/>
      <c r="H371" s="128"/>
      <c r="I371" s="12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</row>
    <row r="372" ht="10.5" customHeight="1">
      <c r="A372" s="127"/>
      <c r="B372" s="118"/>
      <c r="C372" s="128"/>
      <c r="D372" s="128"/>
      <c r="E372" s="128"/>
      <c r="F372" s="128"/>
      <c r="G372" s="128"/>
      <c r="H372" s="128"/>
      <c r="I372" s="12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</row>
    <row r="373" ht="10.5" customHeight="1">
      <c r="A373" s="127"/>
      <c r="B373" s="118"/>
      <c r="C373" s="128"/>
      <c r="D373" s="128"/>
      <c r="E373" s="128"/>
      <c r="F373" s="128"/>
      <c r="G373" s="128"/>
      <c r="H373" s="128"/>
      <c r="I373" s="12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</row>
    <row r="374" ht="10.5" customHeight="1">
      <c r="A374" s="127"/>
      <c r="B374" s="118"/>
      <c r="C374" s="128"/>
      <c r="D374" s="128"/>
      <c r="E374" s="128"/>
      <c r="F374" s="128"/>
      <c r="G374" s="128"/>
      <c r="H374" s="128"/>
      <c r="I374" s="12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</row>
    <row r="375" ht="10.5" customHeight="1">
      <c r="A375" s="127"/>
      <c r="B375" s="118"/>
      <c r="C375" s="128"/>
      <c r="D375" s="128"/>
      <c r="E375" s="128"/>
      <c r="F375" s="128"/>
      <c r="G375" s="128"/>
      <c r="H375" s="128"/>
      <c r="I375" s="12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</row>
    <row r="376" ht="10.5" customHeight="1">
      <c r="A376" s="127"/>
      <c r="B376" s="118"/>
      <c r="C376" s="128"/>
      <c r="D376" s="128"/>
      <c r="E376" s="128"/>
      <c r="F376" s="128"/>
      <c r="G376" s="128"/>
      <c r="H376" s="128"/>
      <c r="I376" s="12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</row>
    <row r="377" ht="10.5" customHeight="1">
      <c r="A377" s="127"/>
      <c r="B377" s="118"/>
      <c r="C377" s="128"/>
      <c r="D377" s="128"/>
      <c r="E377" s="128"/>
      <c r="F377" s="128"/>
      <c r="G377" s="128"/>
      <c r="H377" s="128"/>
      <c r="I377" s="12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</row>
    <row r="378" ht="10.5" customHeight="1">
      <c r="A378" s="127"/>
      <c r="B378" s="118"/>
      <c r="C378" s="128"/>
      <c r="D378" s="128"/>
      <c r="E378" s="128"/>
      <c r="F378" s="128"/>
      <c r="G378" s="128"/>
      <c r="H378" s="128"/>
      <c r="I378" s="12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</row>
    <row r="379" ht="10.5" customHeight="1">
      <c r="A379" s="127"/>
      <c r="B379" s="118"/>
      <c r="C379" s="128"/>
      <c r="D379" s="128"/>
      <c r="E379" s="128"/>
      <c r="F379" s="128"/>
      <c r="G379" s="128"/>
      <c r="H379" s="128"/>
      <c r="I379" s="12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</row>
    <row r="380" ht="10.5" customHeight="1">
      <c r="A380" s="127"/>
      <c r="B380" s="118"/>
      <c r="C380" s="128"/>
      <c r="D380" s="128"/>
      <c r="E380" s="128"/>
      <c r="F380" s="128"/>
      <c r="G380" s="128"/>
      <c r="H380" s="128"/>
      <c r="I380" s="12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</row>
    <row r="381" ht="10.5" customHeight="1">
      <c r="A381" s="127"/>
      <c r="B381" s="118"/>
      <c r="C381" s="128"/>
      <c r="D381" s="128"/>
      <c r="E381" s="128"/>
      <c r="F381" s="128"/>
      <c r="G381" s="128"/>
      <c r="H381" s="128"/>
      <c r="I381" s="12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</row>
    <row r="382" ht="10.5" customHeight="1">
      <c r="A382" s="127"/>
      <c r="B382" s="118"/>
      <c r="C382" s="128"/>
      <c r="D382" s="128"/>
      <c r="E382" s="128"/>
      <c r="F382" s="128"/>
      <c r="G382" s="128"/>
      <c r="H382" s="128"/>
      <c r="I382" s="12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</row>
    <row r="383" ht="10.5" customHeight="1">
      <c r="A383" s="127"/>
      <c r="B383" s="118"/>
      <c r="C383" s="128"/>
      <c r="D383" s="128"/>
      <c r="E383" s="128"/>
      <c r="F383" s="128"/>
      <c r="G383" s="128"/>
      <c r="H383" s="128"/>
      <c r="I383" s="12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</row>
    <row r="384" ht="10.5" customHeight="1">
      <c r="A384" s="127"/>
      <c r="B384" s="118"/>
      <c r="C384" s="128"/>
      <c r="D384" s="128"/>
      <c r="E384" s="128"/>
      <c r="F384" s="128"/>
      <c r="G384" s="128"/>
      <c r="H384" s="128"/>
      <c r="I384" s="12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</row>
    <row r="385" ht="10.5" customHeight="1">
      <c r="A385" s="127"/>
      <c r="B385" s="118"/>
      <c r="C385" s="128"/>
      <c r="D385" s="128"/>
      <c r="E385" s="128"/>
      <c r="F385" s="128"/>
      <c r="G385" s="128"/>
      <c r="H385" s="128"/>
      <c r="I385" s="12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</row>
    <row r="386" ht="10.5" customHeight="1">
      <c r="A386" s="127"/>
      <c r="B386" s="118"/>
      <c r="C386" s="128"/>
      <c r="D386" s="128"/>
      <c r="E386" s="128"/>
      <c r="F386" s="128"/>
      <c r="G386" s="128"/>
      <c r="H386" s="128"/>
      <c r="I386" s="12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</row>
    <row r="387" ht="10.5" customHeight="1">
      <c r="A387" s="127"/>
      <c r="B387" s="118"/>
      <c r="C387" s="128"/>
      <c r="D387" s="128"/>
      <c r="E387" s="128"/>
      <c r="F387" s="128"/>
      <c r="G387" s="128"/>
      <c r="H387" s="128"/>
      <c r="I387" s="12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</row>
    <row r="388" ht="10.5" customHeight="1">
      <c r="A388" s="127"/>
      <c r="B388" s="118"/>
      <c r="C388" s="128"/>
      <c r="D388" s="128"/>
      <c r="E388" s="128"/>
      <c r="F388" s="128"/>
      <c r="G388" s="128"/>
      <c r="H388" s="128"/>
      <c r="I388" s="12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</row>
    <row r="389" ht="10.5" customHeight="1">
      <c r="A389" s="127"/>
      <c r="B389" s="118"/>
      <c r="C389" s="128"/>
      <c r="D389" s="128"/>
      <c r="E389" s="128"/>
      <c r="F389" s="128"/>
      <c r="G389" s="128"/>
      <c r="H389" s="128"/>
      <c r="I389" s="12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</row>
    <row r="390" ht="10.5" customHeight="1">
      <c r="A390" s="127"/>
      <c r="B390" s="118"/>
      <c r="C390" s="128"/>
      <c r="D390" s="128"/>
      <c r="E390" s="128"/>
      <c r="F390" s="128"/>
      <c r="G390" s="128"/>
      <c r="H390" s="128"/>
      <c r="I390" s="12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</row>
    <row r="391" ht="10.5" customHeight="1">
      <c r="A391" s="127"/>
      <c r="B391" s="118"/>
      <c r="C391" s="128"/>
      <c r="D391" s="128"/>
      <c r="E391" s="128"/>
      <c r="F391" s="128"/>
      <c r="G391" s="128"/>
      <c r="H391" s="128"/>
      <c r="I391" s="12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</row>
    <row r="392" ht="10.5" customHeight="1">
      <c r="A392" s="127"/>
      <c r="B392" s="118"/>
      <c r="C392" s="128"/>
      <c r="D392" s="128"/>
      <c r="E392" s="128"/>
      <c r="F392" s="128"/>
      <c r="G392" s="128"/>
      <c r="H392" s="128"/>
      <c r="I392" s="12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</row>
    <row r="393" ht="10.5" customHeight="1">
      <c r="A393" s="127"/>
      <c r="B393" s="118"/>
      <c r="C393" s="128"/>
      <c r="D393" s="128"/>
      <c r="E393" s="128"/>
      <c r="F393" s="128"/>
      <c r="G393" s="128"/>
      <c r="H393" s="128"/>
      <c r="I393" s="12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</row>
    <row r="394" ht="10.5" customHeight="1">
      <c r="A394" s="127"/>
      <c r="B394" s="118"/>
      <c r="C394" s="128"/>
      <c r="D394" s="128"/>
      <c r="E394" s="128"/>
      <c r="F394" s="128"/>
      <c r="G394" s="128"/>
      <c r="H394" s="128"/>
      <c r="I394" s="12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</row>
    <row r="395" ht="10.5" customHeight="1">
      <c r="A395" s="127"/>
      <c r="B395" s="118"/>
      <c r="C395" s="128"/>
      <c r="D395" s="128"/>
      <c r="E395" s="128"/>
      <c r="F395" s="128"/>
      <c r="G395" s="128"/>
      <c r="H395" s="128"/>
      <c r="I395" s="12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</row>
    <row r="396" ht="10.5" customHeight="1">
      <c r="A396" s="127"/>
      <c r="B396" s="118"/>
      <c r="C396" s="128"/>
      <c r="D396" s="128"/>
      <c r="E396" s="128"/>
      <c r="F396" s="128"/>
      <c r="G396" s="128"/>
      <c r="H396" s="128"/>
      <c r="I396" s="12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</row>
    <row r="397" ht="10.5" customHeight="1">
      <c r="A397" s="127"/>
      <c r="B397" s="118"/>
      <c r="C397" s="128"/>
      <c r="D397" s="128"/>
      <c r="E397" s="128"/>
      <c r="F397" s="128"/>
      <c r="G397" s="128"/>
      <c r="H397" s="128"/>
      <c r="I397" s="12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</row>
    <row r="398" ht="10.5" customHeight="1">
      <c r="A398" s="127"/>
      <c r="B398" s="118"/>
      <c r="C398" s="128"/>
      <c r="D398" s="128"/>
      <c r="E398" s="128"/>
      <c r="F398" s="128"/>
      <c r="G398" s="128"/>
      <c r="H398" s="128"/>
      <c r="I398" s="12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</row>
    <row r="399" ht="10.5" customHeight="1">
      <c r="A399" s="127"/>
      <c r="B399" s="118"/>
      <c r="C399" s="128"/>
      <c r="D399" s="128"/>
      <c r="E399" s="128"/>
      <c r="F399" s="128"/>
      <c r="G399" s="128"/>
      <c r="H399" s="128"/>
      <c r="I399" s="12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</row>
    <row r="400" ht="10.5" customHeight="1">
      <c r="A400" s="127"/>
      <c r="B400" s="118"/>
      <c r="C400" s="128"/>
      <c r="D400" s="128"/>
      <c r="E400" s="128"/>
      <c r="F400" s="128"/>
      <c r="G400" s="128"/>
      <c r="H400" s="128"/>
      <c r="I400" s="12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</row>
    <row r="401" ht="10.5" customHeight="1">
      <c r="A401" s="127"/>
      <c r="B401" s="118"/>
      <c r="C401" s="128"/>
      <c r="D401" s="128"/>
      <c r="E401" s="128"/>
      <c r="F401" s="128"/>
      <c r="G401" s="128"/>
      <c r="H401" s="128"/>
      <c r="I401" s="12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</row>
    <row r="402" ht="10.5" customHeight="1">
      <c r="A402" s="127"/>
      <c r="B402" s="118"/>
      <c r="C402" s="128"/>
      <c r="D402" s="128"/>
      <c r="E402" s="128"/>
      <c r="F402" s="128"/>
      <c r="G402" s="128"/>
      <c r="H402" s="128"/>
      <c r="I402" s="12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</row>
    <row r="403" ht="10.5" customHeight="1">
      <c r="A403" s="127"/>
      <c r="B403" s="118"/>
      <c r="C403" s="128"/>
      <c r="D403" s="128"/>
      <c r="E403" s="128"/>
      <c r="F403" s="128"/>
      <c r="G403" s="128"/>
      <c r="H403" s="128"/>
      <c r="I403" s="12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</row>
    <row r="404" ht="10.5" customHeight="1">
      <c r="A404" s="127"/>
      <c r="B404" s="118"/>
      <c r="C404" s="128"/>
      <c r="D404" s="128"/>
      <c r="E404" s="128"/>
      <c r="F404" s="128"/>
      <c r="G404" s="128"/>
      <c r="H404" s="128"/>
      <c r="I404" s="12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</row>
    <row r="405" ht="10.5" customHeight="1">
      <c r="A405" s="127"/>
      <c r="B405" s="118"/>
      <c r="C405" s="128"/>
      <c r="D405" s="128"/>
      <c r="E405" s="128"/>
      <c r="F405" s="128"/>
      <c r="G405" s="128"/>
      <c r="H405" s="128"/>
      <c r="I405" s="12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</row>
    <row r="406" ht="10.5" customHeight="1">
      <c r="A406" s="127"/>
      <c r="B406" s="118"/>
      <c r="C406" s="128"/>
      <c r="D406" s="128"/>
      <c r="E406" s="128"/>
      <c r="F406" s="128"/>
      <c r="G406" s="128"/>
      <c r="H406" s="128"/>
      <c r="I406" s="12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</row>
    <row r="407" ht="10.5" customHeight="1">
      <c r="A407" s="127"/>
      <c r="B407" s="118"/>
      <c r="C407" s="128"/>
      <c r="D407" s="128"/>
      <c r="E407" s="128"/>
      <c r="F407" s="128"/>
      <c r="G407" s="128"/>
      <c r="H407" s="128"/>
      <c r="I407" s="12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</row>
    <row r="408" ht="10.5" customHeight="1">
      <c r="A408" s="127"/>
      <c r="B408" s="118"/>
      <c r="C408" s="128"/>
      <c r="D408" s="128"/>
      <c r="E408" s="128"/>
      <c r="F408" s="128"/>
      <c r="G408" s="128"/>
      <c r="H408" s="128"/>
      <c r="I408" s="12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</row>
    <row r="409" ht="10.5" customHeight="1">
      <c r="A409" s="127"/>
      <c r="B409" s="118"/>
      <c r="C409" s="128"/>
      <c r="D409" s="128"/>
      <c r="E409" s="128"/>
      <c r="F409" s="128"/>
      <c r="G409" s="128"/>
      <c r="H409" s="128"/>
      <c r="I409" s="12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</row>
    <row r="410" ht="10.5" customHeight="1">
      <c r="A410" s="127"/>
      <c r="B410" s="118"/>
      <c r="C410" s="128"/>
      <c r="D410" s="128"/>
      <c r="E410" s="128"/>
      <c r="F410" s="128"/>
      <c r="G410" s="128"/>
      <c r="H410" s="128"/>
      <c r="I410" s="12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</row>
    <row r="411" ht="10.5" customHeight="1">
      <c r="A411" s="127"/>
      <c r="B411" s="118"/>
      <c r="C411" s="128"/>
      <c r="D411" s="128"/>
      <c r="E411" s="128"/>
      <c r="F411" s="128"/>
      <c r="G411" s="128"/>
      <c r="H411" s="128"/>
      <c r="I411" s="12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</row>
    <row r="412" ht="10.5" customHeight="1">
      <c r="A412" s="127"/>
      <c r="B412" s="118"/>
      <c r="C412" s="128"/>
      <c r="D412" s="128"/>
      <c r="E412" s="128"/>
      <c r="F412" s="128"/>
      <c r="G412" s="128"/>
      <c r="H412" s="128"/>
      <c r="I412" s="12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</row>
    <row r="413" ht="10.5" customHeight="1">
      <c r="A413" s="127"/>
      <c r="B413" s="118"/>
      <c r="C413" s="128"/>
      <c r="D413" s="128"/>
      <c r="E413" s="128"/>
      <c r="F413" s="128"/>
      <c r="G413" s="128"/>
      <c r="H413" s="128"/>
      <c r="I413" s="12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</row>
    <row r="414" ht="10.5" customHeight="1">
      <c r="A414" s="127"/>
      <c r="B414" s="118"/>
      <c r="C414" s="128"/>
      <c r="D414" s="128"/>
      <c r="E414" s="128"/>
      <c r="F414" s="128"/>
      <c r="G414" s="128"/>
      <c r="H414" s="128"/>
      <c r="I414" s="12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</row>
    <row r="415" ht="10.5" customHeight="1">
      <c r="A415" s="127"/>
      <c r="B415" s="118"/>
      <c r="C415" s="128"/>
      <c r="D415" s="128"/>
      <c r="E415" s="128"/>
      <c r="F415" s="128"/>
      <c r="G415" s="128"/>
      <c r="H415" s="128"/>
      <c r="I415" s="12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</row>
    <row r="416" ht="10.5" customHeight="1">
      <c r="A416" s="127"/>
      <c r="B416" s="118"/>
      <c r="C416" s="128"/>
      <c r="D416" s="128"/>
      <c r="E416" s="128"/>
      <c r="F416" s="128"/>
      <c r="G416" s="128"/>
      <c r="H416" s="128"/>
      <c r="I416" s="12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</row>
    <row r="417" ht="10.5" customHeight="1">
      <c r="A417" s="127"/>
      <c r="B417" s="118"/>
      <c r="C417" s="128"/>
      <c r="D417" s="128"/>
      <c r="E417" s="128"/>
      <c r="F417" s="128"/>
      <c r="G417" s="128"/>
      <c r="H417" s="128"/>
      <c r="I417" s="12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</row>
    <row r="418" ht="10.5" customHeight="1">
      <c r="A418" s="127"/>
      <c r="B418" s="118"/>
      <c r="C418" s="128"/>
      <c r="D418" s="128"/>
      <c r="E418" s="128"/>
      <c r="F418" s="128"/>
      <c r="G418" s="128"/>
      <c r="H418" s="128"/>
      <c r="I418" s="12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</row>
    <row r="419" ht="10.5" customHeight="1">
      <c r="A419" s="127"/>
      <c r="B419" s="118"/>
      <c r="C419" s="128"/>
      <c r="D419" s="128"/>
      <c r="E419" s="128"/>
      <c r="F419" s="128"/>
      <c r="G419" s="128"/>
      <c r="H419" s="128"/>
      <c r="I419" s="12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</row>
    <row r="420" ht="10.5" customHeight="1">
      <c r="A420" s="127"/>
      <c r="B420" s="118"/>
      <c r="C420" s="128"/>
      <c r="D420" s="128"/>
      <c r="E420" s="128"/>
      <c r="F420" s="128"/>
      <c r="G420" s="128"/>
      <c r="H420" s="128"/>
      <c r="I420" s="12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</row>
    <row r="421" ht="10.5" customHeight="1">
      <c r="A421" s="127"/>
      <c r="B421" s="118"/>
      <c r="C421" s="128"/>
      <c r="D421" s="128"/>
      <c r="E421" s="128"/>
      <c r="F421" s="128"/>
      <c r="G421" s="128"/>
      <c r="H421" s="128"/>
      <c r="I421" s="12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</row>
    <row r="422" ht="10.5" customHeight="1">
      <c r="A422" s="127"/>
      <c r="B422" s="118"/>
      <c r="C422" s="128"/>
      <c r="D422" s="128"/>
      <c r="E422" s="128"/>
      <c r="F422" s="128"/>
      <c r="G422" s="128"/>
      <c r="H422" s="128"/>
      <c r="I422" s="12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</row>
    <row r="423" ht="10.5" customHeight="1">
      <c r="A423" s="127"/>
      <c r="B423" s="118"/>
      <c r="C423" s="128"/>
      <c r="D423" s="128"/>
      <c r="E423" s="128"/>
      <c r="F423" s="128"/>
      <c r="G423" s="128"/>
      <c r="H423" s="128"/>
      <c r="I423" s="12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</row>
    <row r="424" ht="10.5" customHeight="1">
      <c r="A424" s="127"/>
      <c r="B424" s="118"/>
      <c r="C424" s="128"/>
      <c r="D424" s="128"/>
      <c r="E424" s="128"/>
      <c r="F424" s="128"/>
      <c r="G424" s="128"/>
      <c r="H424" s="128"/>
      <c r="I424" s="12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</row>
    <row r="425" ht="10.5" customHeight="1">
      <c r="A425" s="127"/>
      <c r="B425" s="118"/>
      <c r="C425" s="128"/>
      <c r="D425" s="128"/>
      <c r="E425" s="128"/>
      <c r="F425" s="128"/>
      <c r="G425" s="128"/>
      <c r="H425" s="128"/>
      <c r="I425" s="12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</row>
    <row r="426" ht="10.5" customHeight="1">
      <c r="A426" s="127"/>
      <c r="B426" s="118"/>
      <c r="C426" s="128"/>
      <c r="D426" s="128"/>
      <c r="E426" s="128"/>
      <c r="F426" s="128"/>
      <c r="G426" s="128"/>
      <c r="H426" s="128"/>
      <c r="I426" s="12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</row>
    <row r="427" ht="10.5" customHeight="1">
      <c r="A427" s="127"/>
      <c r="B427" s="118"/>
      <c r="C427" s="128"/>
      <c r="D427" s="128"/>
      <c r="E427" s="128"/>
      <c r="F427" s="128"/>
      <c r="G427" s="128"/>
      <c r="H427" s="128"/>
      <c r="I427" s="12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</row>
    <row r="428" ht="10.5" customHeight="1">
      <c r="A428" s="127"/>
      <c r="B428" s="118"/>
      <c r="C428" s="128"/>
      <c r="D428" s="128"/>
      <c r="E428" s="128"/>
      <c r="F428" s="128"/>
      <c r="G428" s="128"/>
      <c r="H428" s="128"/>
      <c r="I428" s="12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</row>
    <row r="429" ht="10.5" customHeight="1">
      <c r="A429" s="127"/>
      <c r="B429" s="118"/>
      <c r="C429" s="128"/>
      <c r="D429" s="128"/>
      <c r="E429" s="128"/>
      <c r="F429" s="128"/>
      <c r="G429" s="128"/>
      <c r="H429" s="128"/>
      <c r="I429" s="12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</row>
    <row r="430" ht="10.5" customHeight="1">
      <c r="A430" s="127"/>
      <c r="B430" s="118"/>
      <c r="C430" s="128"/>
      <c r="D430" s="128"/>
      <c r="E430" s="128"/>
      <c r="F430" s="128"/>
      <c r="G430" s="128"/>
      <c r="H430" s="128"/>
      <c r="I430" s="12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</row>
    <row r="431" ht="10.5" customHeight="1">
      <c r="A431" s="127"/>
      <c r="B431" s="118"/>
      <c r="C431" s="128"/>
      <c r="D431" s="128"/>
      <c r="E431" s="128"/>
      <c r="F431" s="128"/>
      <c r="G431" s="128"/>
      <c r="H431" s="128"/>
      <c r="I431" s="12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</row>
    <row r="432" ht="10.5" customHeight="1">
      <c r="A432" s="127"/>
      <c r="B432" s="118"/>
      <c r="C432" s="128"/>
      <c r="D432" s="128"/>
      <c r="E432" s="128"/>
      <c r="F432" s="128"/>
      <c r="G432" s="128"/>
      <c r="H432" s="128"/>
      <c r="I432" s="12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</row>
    <row r="433" ht="10.5" customHeight="1">
      <c r="A433" s="127"/>
      <c r="B433" s="118"/>
      <c r="C433" s="128"/>
      <c r="D433" s="128"/>
      <c r="E433" s="128"/>
      <c r="F433" s="128"/>
      <c r="G433" s="128"/>
      <c r="H433" s="128"/>
      <c r="I433" s="12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</row>
    <row r="434" ht="10.5" customHeight="1">
      <c r="A434" s="127"/>
      <c r="B434" s="118"/>
      <c r="C434" s="128"/>
      <c r="D434" s="128"/>
      <c r="E434" s="128"/>
      <c r="F434" s="128"/>
      <c r="G434" s="128"/>
      <c r="H434" s="128"/>
      <c r="I434" s="12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</row>
    <row r="435" ht="10.5" customHeight="1">
      <c r="A435" s="127"/>
      <c r="B435" s="118"/>
      <c r="C435" s="128"/>
      <c r="D435" s="128"/>
      <c r="E435" s="128"/>
      <c r="F435" s="128"/>
      <c r="G435" s="128"/>
      <c r="H435" s="128"/>
      <c r="I435" s="12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</row>
    <row r="436" ht="10.5" customHeight="1">
      <c r="A436" s="127"/>
      <c r="B436" s="118"/>
      <c r="C436" s="128"/>
      <c r="D436" s="128"/>
      <c r="E436" s="128"/>
      <c r="F436" s="128"/>
      <c r="G436" s="128"/>
      <c r="H436" s="128"/>
      <c r="I436" s="12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</row>
    <row r="437" ht="10.5" customHeight="1">
      <c r="A437" s="127"/>
      <c r="B437" s="118"/>
      <c r="C437" s="128"/>
      <c r="D437" s="128"/>
      <c r="E437" s="128"/>
      <c r="F437" s="128"/>
      <c r="G437" s="128"/>
      <c r="H437" s="128"/>
      <c r="I437" s="12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</row>
    <row r="438" ht="10.5" customHeight="1">
      <c r="A438" s="127"/>
      <c r="B438" s="118"/>
      <c r="C438" s="128"/>
      <c r="D438" s="128"/>
      <c r="E438" s="128"/>
      <c r="F438" s="128"/>
      <c r="G438" s="128"/>
      <c r="H438" s="128"/>
      <c r="I438" s="12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</row>
    <row r="439" ht="10.5" customHeight="1">
      <c r="A439" s="127"/>
      <c r="B439" s="118"/>
      <c r="C439" s="128"/>
      <c r="D439" s="128"/>
      <c r="E439" s="128"/>
      <c r="F439" s="128"/>
      <c r="G439" s="128"/>
      <c r="H439" s="128"/>
      <c r="I439" s="12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</row>
    <row r="440" ht="10.5" customHeight="1">
      <c r="A440" s="127"/>
      <c r="B440" s="118"/>
      <c r="C440" s="128"/>
      <c r="D440" s="128"/>
      <c r="E440" s="128"/>
      <c r="F440" s="128"/>
      <c r="G440" s="128"/>
      <c r="H440" s="128"/>
      <c r="I440" s="12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</row>
    <row r="441" ht="10.5" customHeight="1">
      <c r="A441" s="127"/>
      <c r="B441" s="118"/>
      <c r="C441" s="128"/>
      <c r="D441" s="128"/>
      <c r="E441" s="128"/>
      <c r="F441" s="128"/>
      <c r="G441" s="128"/>
      <c r="H441" s="128"/>
      <c r="I441" s="12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</row>
    <row r="442" ht="10.5" customHeight="1">
      <c r="A442" s="127"/>
      <c r="B442" s="118"/>
      <c r="C442" s="128"/>
      <c r="D442" s="128"/>
      <c r="E442" s="128"/>
      <c r="F442" s="128"/>
      <c r="G442" s="128"/>
      <c r="H442" s="128"/>
      <c r="I442" s="12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</row>
    <row r="443" ht="10.5" customHeight="1">
      <c r="A443" s="127"/>
      <c r="B443" s="118"/>
      <c r="C443" s="128"/>
      <c r="D443" s="128"/>
      <c r="E443" s="128"/>
      <c r="F443" s="128"/>
      <c r="G443" s="128"/>
      <c r="H443" s="128"/>
      <c r="I443" s="12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</row>
    <row r="444" ht="10.5" customHeight="1">
      <c r="A444" s="127"/>
      <c r="B444" s="118"/>
      <c r="C444" s="128"/>
      <c r="D444" s="128"/>
      <c r="E444" s="128"/>
      <c r="F444" s="128"/>
      <c r="G444" s="128"/>
      <c r="H444" s="128"/>
      <c r="I444" s="12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</row>
    <row r="445" ht="10.5" customHeight="1">
      <c r="A445" s="127"/>
      <c r="B445" s="118"/>
      <c r="C445" s="128"/>
      <c r="D445" s="128"/>
      <c r="E445" s="128"/>
      <c r="F445" s="128"/>
      <c r="G445" s="128"/>
      <c r="H445" s="128"/>
      <c r="I445" s="12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</row>
    <row r="446" ht="10.5" customHeight="1">
      <c r="A446" s="127"/>
      <c r="B446" s="118"/>
      <c r="C446" s="128"/>
      <c r="D446" s="128"/>
      <c r="E446" s="128"/>
      <c r="F446" s="128"/>
      <c r="G446" s="128"/>
      <c r="H446" s="128"/>
      <c r="I446" s="12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</row>
    <row r="447" ht="10.5" customHeight="1">
      <c r="A447" s="127"/>
      <c r="B447" s="118"/>
      <c r="C447" s="128"/>
      <c r="D447" s="128"/>
      <c r="E447" s="128"/>
      <c r="F447" s="128"/>
      <c r="G447" s="128"/>
      <c r="H447" s="128"/>
      <c r="I447" s="12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</row>
    <row r="448" ht="10.5" customHeight="1">
      <c r="A448" s="127"/>
      <c r="B448" s="118"/>
      <c r="C448" s="128"/>
      <c r="D448" s="128"/>
      <c r="E448" s="128"/>
      <c r="F448" s="128"/>
      <c r="G448" s="128"/>
      <c r="H448" s="128"/>
      <c r="I448" s="12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</row>
    <row r="449" ht="10.5" customHeight="1">
      <c r="A449" s="127"/>
      <c r="B449" s="118"/>
      <c r="C449" s="128"/>
      <c r="D449" s="128"/>
      <c r="E449" s="128"/>
      <c r="F449" s="128"/>
      <c r="G449" s="128"/>
      <c r="H449" s="128"/>
      <c r="I449" s="12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</row>
    <row r="450" ht="10.5" customHeight="1">
      <c r="A450" s="127"/>
      <c r="B450" s="118"/>
      <c r="C450" s="128"/>
      <c r="D450" s="128"/>
      <c r="E450" s="128"/>
      <c r="F450" s="128"/>
      <c r="G450" s="128"/>
      <c r="H450" s="128"/>
      <c r="I450" s="12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</row>
    <row r="451" ht="10.5" customHeight="1">
      <c r="A451" s="127"/>
      <c r="B451" s="118"/>
      <c r="C451" s="128"/>
      <c r="D451" s="128"/>
      <c r="E451" s="128"/>
      <c r="F451" s="128"/>
      <c r="G451" s="128"/>
      <c r="H451" s="128"/>
      <c r="I451" s="12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</row>
    <row r="452" ht="10.5" customHeight="1">
      <c r="A452" s="127"/>
      <c r="B452" s="118"/>
      <c r="C452" s="128"/>
      <c r="D452" s="128"/>
      <c r="E452" s="128"/>
      <c r="F452" s="128"/>
      <c r="G452" s="128"/>
      <c r="H452" s="128"/>
      <c r="I452" s="12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</row>
    <row r="453" ht="10.5" customHeight="1">
      <c r="A453" s="127"/>
      <c r="B453" s="118"/>
      <c r="C453" s="128"/>
      <c r="D453" s="128"/>
      <c r="E453" s="128"/>
      <c r="F453" s="128"/>
      <c r="G453" s="128"/>
      <c r="H453" s="128"/>
      <c r="I453" s="12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</row>
    <row r="454" ht="10.5" customHeight="1">
      <c r="A454" s="127"/>
      <c r="B454" s="118"/>
      <c r="C454" s="128"/>
      <c r="D454" s="128"/>
      <c r="E454" s="128"/>
      <c r="F454" s="128"/>
      <c r="G454" s="128"/>
      <c r="H454" s="128"/>
      <c r="I454" s="12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</row>
    <row r="455" ht="10.5" customHeight="1">
      <c r="A455" s="127"/>
      <c r="B455" s="118"/>
      <c r="C455" s="128"/>
      <c r="D455" s="128"/>
      <c r="E455" s="128"/>
      <c r="F455" s="128"/>
      <c r="G455" s="128"/>
      <c r="H455" s="128"/>
      <c r="I455" s="12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</row>
    <row r="456" ht="10.5" customHeight="1">
      <c r="A456" s="127"/>
      <c r="B456" s="118"/>
      <c r="C456" s="128"/>
      <c r="D456" s="128"/>
      <c r="E456" s="128"/>
      <c r="F456" s="128"/>
      <c r="G456" s="128"/>
      <c r="H456" s="128"/>
      <c r="I456" s="12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</row>
    <row r="457" ht="10.5" customHeight="1">
      <c r="A457" s="127"/>
      <c r="B457" s="118"/>
      <c r="C457" s="128"/>
      <c r="D457" s="128"/>
      <c r="E457" s="128"/>
      <c r="F457" s="128"/>
      <c r="G457" s="128"/>
      <c r="H457" s="128"/>
      <c r="I457" s="12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</row>
    <row r="458" ht="10.5" customHeight="1">
      <c r="A458" s="127"/>
      <c r="B458" s="118"/>
      <c r="C458" s="128"/>
      <c r="D458" s="128"/>
      <c r="E458" s="128"/>
      <c r="F458" s="128"/>
      <c r="G458" s="128"/>
      <c r="H458" s="128"/>
      <c r="I458" s="12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</row>
    <row r="459" ht="10.5" customHeight="1">
      <c r="A459" s="127"/>
      <c r="B459" s="118"/>
      <c r="C459" s="128"/>
      <c r="D459" s="128"/>
      <c r="E459" s="128"/>
      <c r="F459" s="128"/>
      <c r="G459" s="128"/>
      <c r="H459" s="128"/>
      <c r="I459" s="12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</row>
    <row r="460" ht="10.5" customHeight="1">
      <c r="A460" s="127"/>
      <c r="B460" s="118"/>
      <c r="C460" s="128"/>
      <c r="D460" s="128"/>
      <c r="E460" s="128"/>
      <c r="F460" s="128"/>
      <c r="G460" s="128"/>
      <c r="H460" s="128"/>
      <c r="I460" s="12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</row>
    <row r="461" ht="10.5" customHeight="1">
      <c r="A461" s="127"/>
      <c r="B461" s="118"/>
      <c r="C461" s="128"/>
      <c r="D461" s="128"/>
      <c r="E461" s="128"/>
      <c r="F461" s="128"/>
      <c r="G461" s="128"/>
      <c r="H461" s="128"/>
      <c r="I461" s="12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</row>
    <row r="462" ht="10.5" customHeight="1">
      <c r="A462" s="127"/>
      <c r="B462" s="118"/>
      <c r="C462" s="128"/>
      <c r="D462" s="128"/>
      <c r="E462" s="128"/>
      <c r="F462" s="128"/>
      <c r="G462" s="128"/>
      <c r="H462" s="128"/>
      <c r="I462" s="12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</row>
    <row r="463" ht="10.5" customHeight="1">
      <c r="A463" s="127"/>
      <c r="B463" s="118"/>
      <c r="C463" s="128"/>
      <c r="D463" s="128"/>
      <c r="E463" s="128"/>
      <c r="F463" s="128"/>
      <c r="G463" s="128"/>
      <c r="H463" s="128"/>
      <c r="I463" s="12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</row>
    <row r="464" ht="10.5" customHeight="1">
      <c r="A464" s="127"/>
      <c r="B464" s="118"/>
      <c r="C464" s="128"/>
      <c r="D464" s="128"/>
      <c r="E464" s="128"/>
      <c r="F464" s="128"/>
      <c r="G464" s="128"/>
      <c r="H464" s="128"/>
      <c r="I464" s="12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</row>
    <row r="465" ht="10.5" customHeight="1">
      <c r="A465" s="127"/>
      <c r="B465" s="118"/>
      <c r="C465" s="128"/>
      <c r="D465" s="128"/>
      <c r="E465" s="128"/>
      <c r="F465" s="128"/>
      <c r="G465" s="128"/>
      <c r="H465" s="128"/>
      <c r="I465" s="12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</row>
    <row r="466" ht="10.5" customHeight="1">
      <c r="A466" s="127"/>
      <c r="B466" s="118"/>
      <c r="C466" s="128"/>
      <c r="D466" s="128"/>
      <c r="E466" s="128"/>
      <c r="F466" s="128"/>
      <c r="G466" s="128"/>
      <c r="H466" s="128"/>
      <c r="I466" s="12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</row>
    <row r="467" ht="10.5" customHeight="1">
      <c r="A467" s="127"/>
      <c r="B467" s="118"/>
      <c r="C467" s="128"/>
      <c r="D467" s="128"/>
      <c r="E467" s="128"/>
      <c r="F467" s="128"/>
      <c r="G467" s="128"/>
      <c r="H467" s="128"/>
      <c r="I467" s="12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</row>
    <row r="468" ht="10.5" customHeight="1">
      <c r="A468" s="127"/>
      <c r="B468" s="118"/>
      <c r="C468" s="128"/>
      <c r="D468" s="128"/>
      <c r="E468" s="128"/>
      <c r="F468" s="128"/>
      <c r="G468" s="128"/>
      <c r="H468" s="128"/>
      <c r="I468" s="12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</row>
    <row r="469" ht="10.5" customHeight="1">
      <c r="A469" s="127"/>
      <c r="B469" s="118"/>
      <c r="C469" s="128"/>
      <c r="D469" s="128"/>
      <c r="E469" s="128"/>
      <c r="F469" s="128"/>
      <c r="G469" s="128"/>
      <c r="H469" s="128"/>
      <c r="I469" s="12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</row>
    <row r="470" ht="10.5" customHeight="1">
      <c r="A470" s="127"/>
      <c r="B470" s="118"/>
      <c r="C470" s="128"/>
      <c r="D470" s="128"/>
      <c r="E470" s="128"/>
      <c r="F470" s="128"/>
      <c r="G470" s="128"/>
      <c r="H470" s="128"/>
      <c r="I470" s="12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</row>
    <row r="471" ht="10.5" customHeight="1">
      <c r="A471" s="127"/>
      <c r="B471" s="118"/>
      <c r="C471" s="128"/>
      <c r="D471" s="128"/>
      <c r="E471" s="128"/>
      <c r="F471" s="128"/>
      <c r="G471" s="128"/>
      <c r="H471" s="128"/>
      <c r="I471" s="12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</row>
    <row r="472" ht="10.5" customHeight="1">
      <c r="A472" s="127"/>
      <c r="B472" s="118"/>
      <c r="C472" s="128"/>
      <c r="D472" s="128"/>
      <c r="E472" s="128"/>
      <c r="F472" s="128"/>
      <c r="G472" s="128"/>
      <c r="H472" s="128"/>
      <c r="I472" s="12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</row>
    <row r="473" ht="10.5" customHeight="1">
      <c r="A473" s="127"/>
      <c r="B473" s="118"/>
      <c r="C473" s="128"/>
      <c r="D473" s="128"/>
      <c r="E473" s="128"/>
      <c r="F473" s="128"/>
      <c r="G473" s="128"/>
      <c r="H473" s="128"/>
      <c r="I473" s="12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</row>
    <row r="474" ht="10.5" customHeight="1">
      <c r="A474" s="127"/>
      <c r="B474" s="118"/>
      <c r="C474" s="128"/>
      <c r="D474" s="128"/>
      <c r="E474" s="128"/>
      <c r="F474" s="128"/>
      <c r="G474" s="128"/>
      <c r="H474" s="128"/>
      <c r="I474" s="12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</row>
    <row r="475" ht="10.5" customHeight="1">
      <c r="A475" s="127"/>
      <c r="B475" s="118"/>
      <c r="C475" s="128"/>
      <c r="D475" s="128"/>
      <c r="E475" s="128"/>
      <c r="F475" s="128"/>
      <c r="G475" s="128"/>
      <c r="H475" s="128"/>
      <c r="I475" s="12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</row>
    <row r="476" ht="10.5" customHeight="1">
      <c r="A476" s="127"/>
      <c r="B476" s="118"/>
      <c r="C476" s="128"/>
      <c r="D476" s="128"/>
      <c r="E476" s="128"/>
      <c r="F476" s="128"/>
      <c r="G476" s="128"/>
      <c r="H476" s="128"/>
      <c r="I476" s="12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</row>
    <row r="477" ht="10.5" customHeight="1">
      <c r="A477" s="127"/>
      <c r="B477" s="118"/>
      <c r="C477" s="128"/>
      <c r="D477" s="128"/>
      <c r="E477" s="128"/>
      <c r="F477" s="128"/>
      <c r="G477" s="128"/>
      <c r="H477" s="128"/>
      <c r="I477" s="12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</row>
    <row r="478" ht="10.5" customHeight="1">
      <c r="A478" s="127"/>
      <c r="B478" s="118"/>
      <c r="C478" s="128"/>
      <c r="D478" s="128"/>
      <c r="E478" s="128"/>
      <c r="F478" s="128"/>
      <c r="G478" s="128"/>
      <c r="H478" s="128"/>
      <c r="I478" s="12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</row>
    <row r="479" ht="10.5" customHeight="1">
      <c r="A479" s="127"/>
      <c r="B479" s="118"/>
      <c r="C479" s="128"/>
      <c r="D479" s="128"/>
      <c r="E479" s="128"/>
      <c r="F479" s="128"/>
      <c r="G479" s="128"/>
      <c r="H479" s="128"/>
      <c r="I479" s="12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</row>
    <row r="480" ht="10.5" customHeight="1">
      <c r="A480" s="127"/>
      <c r="B480" s="118"/>
      <c r="C480" s="128"/>
      <c r="D480" s="128"/>
      <c r="E480" s="128"/>
      <c r="F480" s="128"/>
      <c r="G480" s="128"/>
      <c r="H480" s="128"/>
      <c r="I480" s="12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</row>
    <row r="481" ht="10.5" customHeight="1">
      <c r="A481" s="127"/>
      <c r="B481" s="118"/>
      <c r="C481" s="128"/>
      <c r="D481" s="128"/>
      <c r="E481" s="128"/>
      <c r="F481" s="128"/>
      <c r="G481" s="128"/>
      <c r="H481" s="128"/>
      <c r="I481" s="12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</row>
    <row r="482" ht="10.5" customHeight="1">
      <c r="A482" s="127"/>
      <c r="B482" s="118"/>
      <c r="C482" s="128"/>
      <c r="D482" s="128"/>
      <c r="E482" s="128"/>
      <c r="F482" s="128"/>
      <c r="G482" s="128"/>
      <c r="H482" s="128"/>
      <c r="I482" s="12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</row>
    <row r="483" ht="10.5" customHeight="1">
      <c r="A483" s="127"/>
      <c r="B483" s="118"/>
      <c r="C483" s="128"/>
      <c r="D483" s="128"/>
      <c r="E483" s="128"/>
      <c r="F483" s="128"/>
      <c r="G483" s="128"/>
      <c r="H483" s="128"/>
      <c r="I483" s="12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</row>
    <row r="484" ht="10.5" customHeight="1">
      <c r="A484" s="127"/>
      <c r="B484" s="118"/>
      <c r="C484" s="128"/>
      <c r="D484" s="128"/>
      <c r="E484" s="128"/>
      <c r="F484" s="128"/>
      <c r="G484" s="128"/>
      <c r="H484" s="128"/>
      <c r="I484" s="12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</row>
    <row r="485" ht="10.5" customHeight="1">
      <c r="A485" s="127"/>
      <c r="B485" s="118"/>
      <c r="C485" s="128"/>
      <c r="D485" s="128"/>
      <c r="E485" s="128"/>
      <c r="F485" s="128"/>
      <c r="G485" s="128"/>
      <c r="H485" s="128"/>
      <c r="I485" s="12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</row>
    <row r="486" ht="10.5" customHeight="1">
      <c r="A486" s="127"/>
      <c r="B486" s="118"/>
      <c r="C486" s="128"/>
      <c r="D486" s="128"/>
      <c r="E486" s="128"/>
      <c r="F486" s="128"/>
      <c r="G486" s="128"/>
      <c r="H486" s="128"/>
      <c r="I486" s="12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</row>
    <row r="487" ht="10.5" customHeight="1">
      <c r="A487" s="127"/>
      <c r="B487" s="118"/>
      <c r="C487" s="128"/>
      <c r="D487" s="128"/>
      <c r="E487" s="128"/>
      <c r="F487" s="128"/>
      <c r="G487" s="128"/>
      <c r="H487" s="128"/>
      <c r="I487" s="12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</row>
    <row r="488" ht="10.5" customHeight="1">
      <c r="A488" s="127"/>
      <c r="B488" s="118"/>
      <c r="C488" s="128"/>
      <c r="D488" s="128"/>
      <c r="E488" s="128"/>
      <c r="F488" s="128"/>
      <c r="G488" s="128"/>
      <c r="H488" s="128"/>
      <c r="I488" s="12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</row>
    <row r="489" ht="10.5" customHeight="1">
      <c r="A489" s="127"/>
      <c r="B489" s="118"/>
      <c r="C489" s="128"/>
      <c r="D489" s="128"/>
      <c r="E489" s="128"/>
      <c r="F489" s="128"/>
      <c r="G489" s="128"/>
      <c r="H489" s="128"/>
      <c r="I489" s="12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</row>
    <row r="490" ht="10.5" customHeight="1">
      <c r="A490" s="127"/>
      <c r="B490" s="118"/>
      <c r="C490" s="128"/>
      <c r="D490" s="128"/>
      <c r="E490" s="128"/>
      <c r="F490" s="128"/>
      <c r="G490" s="128"/>
      <c r="H490" s="128"/>
      <c r="I490" s="12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</row>
    <row r="491" ht="10.5" customHeight="1">
      <c r="A491" s="127"/>
      <c r="B491" s="118"/>
      <c r="C491" s="128"/>
      <c r="D491" s="128"/>
      <c r="E491" s="128"/>
      <c r="F491" s="128"/>
      <c r="G491" s="128"/>
      <c r="H491" s="128"/>
      <c r="I491" s="12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</row>
    <row r="492" ht="10.5" customHeight="1">
      <c r="A492" s="127"/>
      <c r="B492" s="118"/>
      <c r="C492" s="128"/>
      <c r="D492" s="128"/>
      <c r="E492" s="128"/>
      <c r="F492" s="128"/>
      <c r="G492" s="128"/>
      <c r="H492" s="128"/>
      <c r="I492" s="12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</row>
    <row r="493" ht="10.5" customHeight="1">
      <c r="A493" s="127"/>
      <c r="B493" s="118"/>
      <c r="C493" s="128"/>
      <c r="D493" s="128"/>
      <c r="E493" s="128"/>
      <c r="F493" s="128"/>
      <c r="G493" s="128"/>
      <c r="H493" s="128"/>
      <c r="I493" s="12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</row>
    <row r="494" ht="10.5" customHeight="1">
      <c r="A494" s="127"/>
      <c r="B494" s="118"/>
      <c r="C494" s="128"/>
      <c r="D494" s="128"/>
      <c r="E494" s="128"/>
      <c r="F494" s="128"/>
      <c r="G494" s="128"/>
      <c r="H494" s="128"/>
      <c r="I494" s="12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</row>
    <row r="495" ht="10.5" customHeight="1">
      <c r="A495" s="127"/>
      <c r="B495" s="118"/>
      <c r="C495" s="128"/>
      <c r="D495" s="128"/>
      <c r="E495" s="128"/>
      <c r="F495" s="128"/>
      <c r="G495" s="128"/>
      <c r="H495" s="128"/>
      <c r="I495" s="12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</row>
    <row r="496" ht="10.5" customHeight="1">
      <c r="A496" s="127"/>
      <c r="B496" s="118"/>
      <c r="C496" s="128"/>
      <c r="D496" s="128"/>
      <c r="E496" s="128"/>
      <c r="F496" s="128"/>
      <c r="G496" s="128"/>
      <c r="H496" s="128"/>
      <c r="I496" s="12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</row>
    <row r="497" ht="10.5" customHeight="1">
      <c r="A497" s="127"/>
      <c r="B497" s="118"/>
      <c r="C497" s="128"/>
      <c r="D497" s="128"/>
      <c r="E497" s="128"/>
      <c r="F497" s="128"/>
      <c r="G497" s="128"/>
      <c r="H497" s="128"/>
      <c r="I497" s="12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</row>
    <row r="498" ht="10.5" customHeight="1">
      <c r="A498" s="127"/>
      <c r="B498" s="118"/>
      <c r="C498" s="128"/>
      <c r="D498" s="128"/>
      <c r="E498" s="128"/>
      <c r="F498" s="128"/>
      <c r="G498" s="128"/>
      <c r="H498" s="128"/>
      <c r="I498" s="12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</row>
    <row r="499" ht="10.5" customHeight="1">
      <c r="A499" s="127"/>
      <c r="B499" s="118"/>
      <c r="C499" s="128"/>
      <c r="D499" s="128"/>
      <c r="E499" s="128"/>
      <c r="F499" s="128"/>
      <c r="G499" s="128"/>
      <c r="H499" s="128"/>
      <c r="I499" s="12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</row>
    <row r="500" ht="10.5" customHeight="1">
      <c r="A500" s="127"/>
      <c r="B500" s="118"/>
      <c r="C500" s="128"/>
      <c r="D500" s="128"/>
      <c r="E500" s="128"/>
      <c r="F500" s="128"/>
      <c r="G500" s="128"/>
      <c r="H500" s="128"/>
      <c r="I500" s="12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</row>
    <row r="501" ht="10.5" customHeight="1">
      <c r="A501" s="127"/>
      <c r="B501" s="118"/>
      <c r="C501" s="128"/>
      <c r="D501" s="128"/>
      <c r="E501" s="128"/>
      <c r="F501" s="128"/>
      <c r="G501" s="128"/>
      <c r="H501" s="128"/>
      <c r="I501" s="12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</row>
    <row r="502" ht="10.5" customHeight="1">
      <c r="A502" s="127"/>
      <c r="B502" s="118"/>
      <c r="C502" s="128"/>
      <c r="D502" s="128"/>
      <c r="E502" s="128"/>
      <c r="F502" s="128"/>
      <c r="G502" s="128"/>
      <c r="H502" s="128"/>
      <c r="I502" s="12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</row>
    <row r="503" ht="10.5" customHeight="1">
      <c r="A503" s="127"/>
      <c r="B503" s="118"/>
      <c r="C503" s="128"/>
      <c r="D503" s="128"/>
      <c r="E503" s="128"/>
      <c r="F503" s="128"/>
      <c r="G503" s="128"/>
      <c r="H503" s="128"/>
      <c r="I503" s="12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</row>
    <row r="504" ht="10.5" customHeight="1">
      <c r="A504" s="127"/>
      <c r="B504" s="118"/>
      <c r="C504" s="128"/>
      <c r="D504" s="128"/>
      <c r="E504" s="128"/>
      <c r="F504" s="128"/>
      <c r="G504" s="128"/>
      <c r="H504" s="128"/>
      <c r="I504" s="12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</row>
    <row r="505" ht="10.5" customHeight="1">
      <c r="A505" s="127"/>
      <c r="B505" s="118"/>
      <c r="C505" s="128"/>
      <c r="D505" s="128"/>
      <c r="E505" s="128"/>
      <c r="F505" s="128"/>
      <c r="G505" s="128"/>
      <c r="H505" s="128"/>
      <c r="I505" s="12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</row>
    <row r="506" ht="10.5" customHeight="1">
      <c r="A506" s="127"/>
      <c r="B506" s="118"/>
      <c r="C506" s="128"/>
      <c r="D506" s="128"/>
      <c r="E506" s="128"/>
      <c r="F506" s="128"/>
      <c r="G506" s="128"/>
      <c r="H506" s="128"/>
      <c r="I506" s="12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</row>
    <row r="507" ht="10.5" customHeight="1">
      <c r="A507" s="127"/>
      <c r="B507" s="118"/>
      <c r="C507" s="128"/>
      <c r="D507" s="128"/>
      <c r="E507" s="128"/>
      <c r="F507" s="128"/>
      <c r="G507" s="128"/>
      <c r="H507" s="128"/>
      <c r="I507" s="12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</row>
    <row r="508" ht="10.5" customHeight="1">
      <c r="A508" s="127"/>
      <c r="B508" s="118"/>
      <c r="C508" s="128"/>
      <c r="D508" s="128"/>
      <c r="E508" s="128"/>
      <c r="F508" s="128"/>
      <c r="G508" s="128"/>
      <c r="H508" s="128"/>
      <c r="I508" s="12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</row>
    <row r="509" ht="10.5" customHeight="1">
      <c r="A509" s="127"/>
      <c r="B509" s="118"/>
      <c r="C509" s="128"/>
      <c r="D509" s="128"/>
      <c r="E509" s="128"/>
      <c r="F509" s="128"/>
      <c r="G509" s="128"/>
      <c r="H509" s="128"/>
      <c r="I509" s="12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</row>
    <row r="510" ht="10.5" customHeight="1">
      <c r="A510" s="127"/>
      <c r="B510" s="118"/>
      <c r="C510" s="128"/>
      <c r="D510" s="128"/>
      <c r="E510" s="128"/>
      <c r="F510" s="128"/>
      <c r="G510" s="128"/>
      <c r="H510" s="128"/>
      <c r="I510" s="12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</row>
    <row r="511" ht="10.5" customHeight="1">
      <c r="A511" s="127"/>
      <c r="B511" s="118"/>
      <c r="C511" s="128"/>
      <c r="D511" s="128"/>
      <c r="E511" s="128"/>
      <c r="F511" s="128"/>
      <c r="G511" s="128"/>
      <c r="H511" s="128"/>
      <c r="I511" s="12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</row>
    <row r="512" ht="10.5" customHeight="1">
      <c r="A512" s="127"/>
      <c r="B512" s="118"/>
      <c r="C512" s="128"/>
      <c r="D512" s="128"/>
      <c r="E512" s="128"/>
      <c r="F512" s="128"/>
      <c r="G512" s="128"/>
      <c r="H512" s="128"/>
      <c r="I512" s="12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</row>
    <row r="513" ht="10.5" customHeight="1">
      <c r="A513" s="127"/>
      <c r="B513" s="118"/>
      <c r="C513" s="128"/>
      <c r="D513" s="128"/>
      <c r="E513" s="128"/>
      <c r="F513" s="128"/>
      <c r="G513" s="128"/>
      <c r="H513" s="128"/>
      <c r="I513" s="12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</row>
    <row r="514" ht="10.5" customHeight="1">
      <c r="A514" s="127"/>
      <c r="B514" s="118"/>
      <c r="C514" s="128"/>
      <c r="D514" s="128"/>
      <c r="E514" s="128"/>
      <c r="F514" s="128"/>
      <c r="G514" s="128"/>
      <c r="H514" s="128"/>
      <c r="I514" s="12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</row>
    <row r="515" ht="10.5" customHeight="1">
      <c r="A515" s="127"/>
      <c r="B515" s="118"/>
      <c r="C515" s="128"/>
      <c r="D515" s="128"/>
      <c r="E515" s="128"/>
      <c r="F515" s="128"/>
      <c r="G515" s="128"/>
      <c r="H515" s="128"/>
      <c r="I515" s="12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</row>
    <row r="516" ht="10.5" customHeight="1">
      <c r="A516" s="127"/>
      <c r="B516" s="118"/>
      <c r="C516" s="128"/>
      <c r="D516" s="128"/>
      <c r="E516" s="128"/>
      <c r="F516" s="128"/>
      <c r="G516" s="128"/>
      <c r="H516" s="128"/>
      <c r="I516" s="12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</row>
    <row r="517" ht="10.5" customHeight="1">
      <c r="A517" s="127"/>
      <c r="B517" s="118"/>
      <c r="C517" s="128"/>
      <c r="D517" s="128"/>
      <c r="E517" s="128"/>
      <c r="F517" s="128"/>
      <c r="G517" s="128"/>
      <c r="H517" s="128"/>
      <c r="I517" s="12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</row>
    <row r="518" ht="10.5" customHeight="1">
      <c r="A518" s="127"/>
      <c r="B518" s="118"/>
      <c r="C518" s="128"/>
      <c r="D518" s="128"/>
      <c r="E518" s="128"/>
      <c r="F518" s="128"/>
      <c r="G518" s="128"/>
      <c r="H518" s="128"/>
      <c r="I518" s="12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</row>
    <row r="519" ht="10.5" customHeight="1">
      <c r="A519" s="127"/>
      <c r="B519" s="118"/>
      <c r="C519" s="128"/>
      <c r="D519" s="128"/>
      <c r="E519" s="128"/>
      <c r="F519" s="128"/>
      <c r="G519" s="128"/>
      <c r="H519" s="128"/>
      <c r="I519" s="12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</row>
    <row r="520" ht="10.5" customHeight="1">
      <c r="A520" s="127"/>
      <c r="B520" s="118"/>
      <c r="C520" s="128"/>
      <c r="D520" s="128"/>
      <c r="E520" s="128"/>
      <c r="F520" s="128"/>
      <c r="G520" s="128"/>
      <c r="H520" s="128"/>
      <c r="I520" s="12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</row>
    <row r="521" ht="10.5" customHeight="1">
      <c r="A521" s="127"/>
      <c r="B521" s="118"/>
      <c r="C521" s="128"/>
      <c r="D521" s="128"/>
      <c r="E521" s="128"/>
      <c r="F521" s="128"/>
      <c r="G521" s="128"/>
      <c r="H521" s="128"/>
      <c r="I521" s="12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</row>
    <row r="522" ht="10.5" customHeight="1">
      <c r="A522" s="127"/>
      <c r="B522" s="118"/>
      <c r="C522" s="128"/>
      <c r="D522" s="128"/>
      <c r="E522" s="128"/>
      <c r="F522" s="128"/>
      <c r="G522" s="128"/>
      <c r="H522" s="128"/>
      <c r="I522" s="12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</row>
    <row r="523" ht="10.5" customHeight="1">
      <c r="A523" s="127"/>
      <c r="B523" s="118"/>
      <c r="C523" s="128"/>
      <c r="D523" s="128"/>
      <c r="E523" s="128"/>
      <c r="F523" s="128"/>
      <c r="G523" s="128"/>
      <c r="H523" s="128"/>
      <c r="I523" s="12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</row>
    <row r="524" ht="10.5" customHeight="1">
      <c r="A524" s="127"/>
      <c r="B524" s="118"/>
      <c r="C524" s="128"/>
      <c r="D524" s="128"/>
      <c r="E524" s="128"/>
      <c r="F524" s="128"/>
      <c r="G524" s="128"/>
      <c r="H524" s="128"/>
      <c r="I524" s="12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</row>
    <row r="525" ht="10.5" customHeight="1">
      <c r="A525" s="127"/>
      <c r="B525" s="118"/>
      <c r="C525" s="128"/>
      <c r="D525" s="128"/>
      <c r="E525" s="128"/>
      <c r="F525" s="128"/>
      <c r="G525" s="128"/>
      <c r="H525" s="128"/>
      <c r="I525" s="12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</row>
    <row r="526" ht="10.5" customHeight="1">
      <c r="A526" s="127"/>
      <c r="B526" s="118"/>
      <c r="C526" s="128"/>
      <c r="D526" s="128"/>
      <c r="E526" s="128"/>
      <c r="F526" s="128"/>
      <c r="G526" s="128"/>
      <c r="H526" s="128"/>
      <c r="I526" s="12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</row>
    <row r="527" ht="10.5" customHeight="1">
      <c r="A527" s="127"/>
      <c r="B527" s="118"/>
      <c r="C527" s="128"/>
      <c r="D527" s="128"/>
      <c r="E527" s="128"/>
      <c r="F527" s="128"/>
      <c r="G527" s="128"/>
      <c r="H527" s="128"/>
      <c r="I527" s="12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</row>
    <row r="528" ht="10.5" customHeight="1">
      <c r="A528" s="127"/>
      <c r="B528" s="118"/>
      <c r="C528" s="128"/>
      <c r="D528" s="128"/>
      <c r="E528" s="128"/>
      <c r="F528" s="128"/>
      <c r="G528" s="128"/>
      <c r="H528" s="128"/>
      <c r="I528" s="12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</row>
    <row r="529" ht="10.5" customHeight="1">
      <c r="A529" s="127"/>
      <c r="B529" s="118"/>
      <c r="C529" s="128"/>
      <c r="D529" s="128"/>
      <c r="E529" s="128"/>
      <c r="F529" s="128"/>
      <c r="G529" s="128"/>
      <c r="H529" s="128"/>
      <c r="I529" s="12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</row>
    <row r="530" ht="10.5" customHeight="1">
      <c r="A530" s="127"/>
      <c r="B530" s="118"/>
      <c r="C530" s="128"/>
      <c r="D530" s="128"/>
      <c r="E530" s="128"/>
      <c r="F530" s="128"/>
      <c r="G530" s="128"/>
      <c r="H530" s="128"/>
      <c r="I530" s="12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</row>
    <row r="531" ht="10.5" customHeight="1">
      <c r="A531" s="127"/>
      <c r="B531" s="118"/>
      <c r="C531" s="128"/>
      <c r="D531" s="128"/>
      <c r="E531" s="128"/>
      <c r="F531" s="128"/>
      <c r="G531" s="128"/>
      <c r="H531" s="128"/>
      <c r="I531" s="12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</row>
    <row r="532" ht="10.5" customHeight="1">
      <c r="A532" s="127"/>
      <c r="B532" s="118"/>
      <c r="C532" s="128"/>
      <c r="D532" s="128"/>
      <c r="E532" s="128"/>
      <c r="F532" s="128"/>
      <c r="G532" s="128"/>
      <c r="H532" s="128"/>
      <c r="I532" s="12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</row>
    <row r="533" ht="10.5" customHeight="1">
      <c r="A533" s="127"/>
      <c r="B533" s="118"/>
      <c r="C533" s="128"/>
      <c r="D533" s="128"/>
      <c r="E533" s="128"/>
      <c r="F533" s="128"/>
      <c r="G533" s="128"/>
      <c r="H533" s="128"/>
      <c r="I533" s="12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</row>
    <row r="534" ht="10.5" customHeight="1">
      <c r="A534" s="127"/>
      <c r="B534" s="118"/>
      <c r="C534" s="128"/>
      <c r="D534" s="128"/>
      <c r="E534" s="128"/>
      <c r="F534" s="128"/>
      <c r="G534" s="128"/>
      <c r="H534" s="128"/>
      <c r="I534" s="12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</row>
    <row r="535" ht="10.5" customHeight="1">
      <c r="A535" s="127"/>
      <c r="B535" s="118"/>
      <c r="C535" s="128"/>
      <c r="D535" s="128"/>
      <c r="E535" s="128"/>
      <c r="F535" s="128"/>
      <c r="G535" s="128"/>
      <c r="H535" s="128"/>
      <c r="I535" s="12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</row>
    <row r="536" ht="10.5" customHeight="1">
      <c r="A536" s="127"/>
      <c r="B536" s="118"/>
      <c r="C536" s="128"/>
      <c r="D536" s="128"/>
      <c r="E536" s="128"/>
      <c r="F536" s="128"/>
      <c r="G536" s="128"/>
      <c r="H536" s="128"/>
      <c r="I536" s="12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</row>
    <row r="537" ht="10.5" customHeight="1">
      <c r="A537" s="127"/>
      <c r="B537" s="118"/>
      <c r="C537" s="128"/>
      <c r="D537" s="128"/>
      <c r="E537" s="128"/>
      <c r="F537" s="128"/>
      <c r="G537" s="128"/>
      <c r="H537" s="128"/>
      <c r="I537" s="12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</row>
    <row r="538" ht="10.5" customHeight="1">
      <c r="A538" s="127"/>
      <c r="B538" s="118"/>
      <c r="C538" s="128"/>
      <c r="D538" s="128"/>
      <c r="E538" s="128"/>
      <c r="F538" s="128"/>
      <c r="G538" s="128"/>
      <c r="H538" s="128"/>
      <c r="I538" s="12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</row>
    <row r="539" ht="10.5" customHeight="1">
      <c r="A539" s="127"/>
      <c r="B539" s="118"/>
      <c r="C539" s="128"/>
      <c r="D539" s="128"/>
      <c r="E539" s="128"/>
      <c r="F539" s="128"/>
      <c r="G539" s="128"/>
      <c r="H539" s="128"/>
      <c r="I539" s="12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</row>
    <row r="540" ht="10.5" customHeight="1">
      <c r="A540" s="127"/>
      <c r="B540" s="118"/>
      <c r="C540" s="128"/>
      <c r="D540" s="128"/>
      <c r="E540" s="128"/>
      <c r="F540" s="128"/>
      <c r="G540" s="128"/>
      <c r="H540" s="128"/>
      <c r="I540" s="12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</row>
    <row r="541" ht="10.5" customHeight="1">
      <c r="A541" s="127"/>
      <c r="B541" s="118"/>
      <c r="C541" s="128"/>
      <c r="D541" s="128"/>
      <c r="E541" s="128"/>
      <c r="F541" s="128"/>
      <c r="G541" s="128"/>
      <c r="H541" s="128"/>
      <c r="I541" s="12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</row>
    <row r="542" ht="10.5" customHeight="1">
      <c r="A542" s="127"/>
      <c r="B542" s="118"/>
      <c r="C542" s="128"/>
      <c r="D542" s="128"/>
      <c r="E542" s="128"/>
      <c r="F542" s="128"/>
      <c r="G542" s="128"/>
      <c r="H542" s="128"/>
      <c r="I542" s="12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</row>
    <row r="543" ht="10.5" customHeight="1">
      <c r="A543" s="127"/>
      <c r="B543" s="118"/>
      <c r="C543" s="128"/>
      <c r="D543" s="128"/>
      <c r="E543" s="128"/>
      <c r="F543" s="128"/>
      <c r="G543" s="128"/>
      <c r="H543" s="128"/>
      <c r="I543" s="12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</row>
    <row r="544" ht="10.5" customHeight="1">
      <c r="A544" s="127"/>
      <c r="B544" s="118"/>
      <c r="C544" s="128"/>
      <c r="D544" s="128"/>
      <c r="E544" s="128"/>
      <c r="F544" s="128"/>
      <c r="G544" s="128"/>
      <c r="H544" s="128"/>
      <c r="I544" s="12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</row>
    <row r="545" ht="10.5" customHeight="1">
      <c r="A545" s="127"/>
      <c r="B545" s="118"/>
      <c r="C545" s="128"/>
      <c r="D545" s="128"/>
      <c r="E545" s="128"/>
      <c r="F545" s="128"/>
      <c r="G545" s="128"/>
      <c r="H545" s="128"/>
      <c r="I545" s="12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</row>
    <row r="546" ht="10.5" customHeight="1">
      <c r="A546" s="127"/>
      <c r="B546" s="118"/>
      <c r="C546" s="128"/>
      <c r="D546" s="128"/>
      <c r="E546" s="128"/>
      <c r="F546" s="128"/>
      <c r="G546" s="128"/>
      <c r="H546" s="128"/>
      <c r="I546" s="12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</row>
    <row r="547" ht="10.5" customHeight="1">
      <c r="A547" s="127"/>
      <c r="B547" s="118"/>
      <c r="C547" s="128"/>
      <c r="D547" s="128"/>
      <c r="E547" s="128"/>
      <c r="F547" s="128"/>
      <c r="G547" s="128"/>
      <c r="H547" s="128"/>
      <c r="I547" s="12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</row>
    <row r="548" ht="10.5" customHeight="1">
      <c r="A548" s="127"/>
      <c r="B548" s="118"/>
      <c r="C548" s="128"/>
      <c r="D548" s="128"/>
      <c r="E548" s="128"/>
      <c r="F548" s="128"/>
      <c r="G548" s="128"/>
      <c r="H548" s="128"/>
      <c r="I548" s="12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</row>
    <row r="549" ht="10.5" customHeight="1">
      <c r="A549" s="127"/>
      <c r="B549" s="118"/>
      <c r="C549" s="128"/>
      <c r="D549" s="128"/>
      <c r="E549" s="128"/>
      <c r="F549" s="128"/>
      <c r="G549" s="128"/>
      <c r="H549" s="128"/>
      <c r="I549" s="12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</row>
    <row r="550" ht="10.5" customHeight="1">
      <c r="A550" s="127"/>
      <c r="B550" s="118"/>
      <c r="C550" s="128"/>
      <c r="D550" s="128"/>
      <c r="E550" s="128"/>
      <c r="F550" s="128"/>
      <c r="G550" s="128"/>
      <c r="H550" s="128"/>
      <c r="I550" s="12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</row>
    <row r="551" ht="10.5" customHeight="1">
      <c r="A551" s="127"/>
      <c r="B551" s="118"/>
      <c r="C551" s="128"/>
      <c r="D551" s="128"/>
      <c r="E551" s="128"/>
      <c r="F551" s="128"/>
      <c r="G551" s="128"/>
      <c r="H551" s="128"/>
      <c r="I551" s="12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</row>
    <row r="552" ht="10.5" customHeight="1">
      <c r="A552" s="127"/>
      <c r="B552" s="118"/>
      <c r="C552" s="128"/>
      <c r="D552" s="128"/>
      <c r="E552" s="128"/>
      <c r="F552" s="128"/>
      <c r="G552" s="128"/>
      <c r="H552" s="128"/>
      <c r="I552" s="12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</row>
    <row r="553" ht="10.5" customHeight="1">
      <c r="A553" s="127"/>
      <c r="B553" s="118"/>
      <c r="C553" s="128"/>
      <c r="D553" s="128"/>
      <c r="E553" s="128"/>
      <c r="F553" s="128"/>
      <c r="G553" s="128"/>
      <c r="H553" s="128"/>
      <c r="I553" s="12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</row>
    <row r="554" ht="10.5" customHeight="1">
      <c r="A554" s="127"/>
      <c r="B554" s="118"/>
      <c r="C554" s="128"/>
      <c r="D554" s="128"/>
      <c r="E554" s="128"/>
      <c r="F554" s="128"/>
      <c r="G554" s="128"/>
      <c r="H554" s="128"/>
      <c r="I554" s="12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</row>
    <row r="555" ht="10.5" customHeight="1">
      <c r="A555" s="127"/>
      <c r="B555" s="118"/>
      <c r="C555" s="128"/>
      <c r="D555" s="128"/>
      <c r="E555" s="128"/>
      <c r="F555" s="128"/>
      <c r="G555" s="128"/>
      <c r="H555" s="128"/>
      <c r="I555" s="12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</row>
    <row r="556" ht="10.5" customHeight="1">
      <c r="A556" s="127"/>
      <c r="B556" s="118"/>
      <c r="C556" s="128"/>
      <c r="D556" s="128"/>
      <c r="E556" s="128"/>
      <c r="F556" s="128"/>
      <c r="G556" s="128"/>
      <c r="H556" s="128"/>
      <c r="I556" s="12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</row>
    <row r="557" ht="10.5" customHeight="1">
      <c r="A557" s="127"/>
      <c r="B557" s="118"/>
      <c r="C557" s="128"/>
      <c r="D557" s="128"/>
      <c r="E557" s="128"/>
      <c r="F557" s="128"/>
      <c r="G557" s="128"/>
      <c r="H557" s="128"/>
      <c r="I557" s="12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</row>
    <row r="558" ht="10.5" customHeight="1">
      <c r="A558" s="127"/>
      <c r="B558" s="118"/>
      <c r="C558" s="128"/>
      <c r="D558" s="128"/>
      <c r="E558" s="128"/>
      <c r="F558" s="128"/>
      <c r="G558" s="128"/>
      <c r="H558" s="128"/>
      <c r="I558" s="12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</row>
    <row r="559" ht="10.5" customHeight="1">
      <c r="A559" s="127"/>
      <c r="B559" s="118"/>
      <c r="C559" s="128"/>
      <c r="D559" s="128"/>
      <c r="E559" s="128"/>
      <c r="F559" s="128"/>
      <c r="G559" s="128"/>
      <c r="H559" s="128"/>
      <c r="I559" s="12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</row>
    <row r="560" ht="10.5" customHeight="1">
      <c r="A560" s="127"/>
      <c r="B560" s="118"/>
      <c r="C560" s="128"/>
      <c r="D560" s="128"/>
      <c r="E560" s="128"/>
      <c r="F560" s="128"/>
      <c r="G560" s="128"/>
      <c r="H560" s="128"/>
      <c r="I560" s="12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</row>
    <row r="561" ht="10.5" customHeight="1">
      <c r="A561" s="127"/>
      <c r="B561" s="118"/>
      <c r="C561" s="128"/>
      <c r="D561" s="128"/>
      <c r="E561" s="128"/>
      <c r="F561" s="128"/>
      <c r="G561" s="128"/>
      <c r="H561" s="128"/>
      <c r="I561" s="12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</row>
    <row r="562" ht="10.5" customHeight="1">
      <c r="A562" s="127"/>
      <c r="B562" s="118"/>
      <c r="C562" s="128"/>
      <c r="D562" s="128"/>
      <c r="E562" s="128"/>
      <c r="F562" s="128"/>
      <c r="G562" s="128"/>
      <c r="H562" s="128"/>
      <c r="I562" s="12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</row>
    <row r="563" ht="10.5" customHeight="1">
      <c r="A563" s="127"/>
      <c r="B563" s="118"/>
      <c r="C563" s="128"/>
      <c r="D563" s="128"/>
      <c r="E563" s="128"/>
      <c r="F563" s="128"/>
      <c r="G563" s="128"/>
      <c r="H563" s="128"/>
      <c r="I563" s="12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</row>
    <row r="564" ht="10.5" customHeight="1">
      <c r="A564" s="127"/>
      <c r="B564" s="118"/>
      <c r="C564" s="128"/>
      <c r="D564" s="128"/>
      <c r="E564" s="128"/>
      <c r="F564" s="128"/>
      <c r="G564" s="128"/>
      <c r="H564" s="128"/>
      <c r="I564" s="12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</row>
    <row r="565" ht="10.5" customHeight="1">
      <c r="A565" s="127"/>
      <c r="B565" s="118"/>
      <c r="C565" s="128"/>
      <c r="D565" s="128"/>
      <c r="E565" s="128"/>
      <c r="F565" s="128"/>
      <c r="G565" s="128"/>
      <c r="H565" s="128"/>
      <c r="I565" s="12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</row>
    <row r="566" ht="10.5" customHeight="1">
      <c r="A566" s="127"/>
      <c r="B566" s="118"/>
      <c r="C566" s="128"/>
      <c r="D566" s="128"/>
      <c r="E566" s="128"/>
      <c r="F566" s="128"/>
      <c r="G566" s="128"/>
      <c r="H566" s="128"/>
      <c r="I566" s="12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</row>
    <row r="567" ht="10.5" customHeight="1">
      <c r="A567" s="127"/>
      <c r="B567" s="118"/>
      <c r="C567" s="128"/>
      <c r="D567" s="128"/>
      <c r="E567" s="128"/>
      <c r="F567" s="128"/>
      <c r="G567" s="128"/>
      <c r="H567" s="128"/>
      <c r="I567" s="12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</row>
    <row r="568" ht="10.5" customHeight="1">
      <c r="A568" s="127"/>
      <c r="B568" s="118"/>
      <c r="C568" s="128"/>
      <c r="D568" s="128"/>
      <c r="E568" s="128"/>
      <c r="F568" s="128"/>
      <c r="G568" s="128"/>
      <c r="H568" s="128"/>
      <c r="I568" s="12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</row>
    <row r="569" ht="10.5" customHeight="1">
      <c r="A569" s="127"/>
      <c r="B569" s="118"/>
      <c r="C569" s="128"/>
      <c r="D569" s="128"/>
      <c r="E569" s="128"/>
      <c r="F569" s="128"/>
      <c r="G569" s="128"/>
      <c r="H569" s="128"/>
      <c r="I569" s="12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</row>
    <row r="570" ht="10.5" customHeight="1">
      <c r="A570" s="127"/>
      <c r="B570" s="118"/>
      <c r="C570" s="128"/>
      <c r="D570" s="128"/>
      <c r="E570" s="128"/>
      <c r="F570" s="128"/>
      <c r="G570" s="128"/>
      <c r="H570" s="128"/>
      <c r="I570" s="12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</row>
    <row r="571" ht="10.5" customHeight="1">
      <c r="A571" s="127"/>
      <c r="B571" s="118"/>
      <c r="C571" s="128"/>
      <c r="D571" s="128"/>
      <c r="E571" s="128"/>
      <c r="F571" s="128"/>
      <c r="G571" s="128"/>
      <c r="H571" s="128"/>
      <c r="I571" s="12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</row>
    <row r="572" ht="10.5" customHeight="1">
      <c r="A572" s="127"/>
      <c r="B572" s="118"/>
      <c r="C572" s="128"/>
      <c r="D572" s="128"/>
      <c r="E572" s="128"/>
      <c r="F572" s="128"/>
      <c r="G572" s="128"/>
      <c r="H572" s="128"/>
      <c r="I572" s="12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</row>
    <row r="573" ht="10.5" customHeight="1">
      <c r="A573" s="127"/>
      <c r="B573" s="118"/>
      <c r="C573" s="128"/>
      <c r="D573" s="128"/>
      <c r="E573" s="128"/>
      <c r="F573" s="128"/>
      <c r="G573" s="128"/>
      <c r="H573" s="128"/>
      <c r="I573" s="12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</row>
    <row r="574" ht="10.5" customHeight="1">
      <c r="A574" s="127"/>
      <c r="B574" s="118"/>
      <c r="C574" s="128"/>
      <c r="D574" s="128"/>
      <c r="E574" s="128"/>
      <c r="F574" s="128"/>
      <c r="G574" s="128"/>
      <c r="H574" s="128"/>
      <c r="I574" s="12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</row>
    <row r="575" ht="10.5" customHeight="1">
      <c r="A575" s="127"/>
      <c r="B575" s="118"/>
      <c r="C575" s="128"/>
      <c r="D575" s="128"/>
      <c r="E575" s="128"/>
      <c r="F575" s="128"/>
      <c r="G575" s="128"/>
      <c r="H575" s="128"/>
      <c r="I575" s="12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</row>
    <row r="576" ht="10.5" customHeight="1">
      <c r="A576" s="127"/>
      <c r="B576" s="118"/>
      <c r="C576" s="128"/>
      <c r="D576" s="128"/>
      <c r="E576" s="128"/>
      <c r="F576" s="128"/>
      <c r="G576" s="128"/>
      <c r="H576" s="128"/>
      <c r="I576" s="12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</row>
    <row r="577" ht="10.5" customHeight="1">
      <c r="A577" s="127"/>
      <c r="B577" s="118"/>
      <c r="C577" s="128"/>
      <c r="D577" s="128"/>
      <c r="E577" s="128"/>
      <c r="F577" s="128"/>
      <c r="G577" s="128"/>
      <c r="H577" s="128"/>
      <c r="I577" s="12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</row>
    <row r="578" ht="10.5" customHeight="1">
      <c r="A578" s="127"/>
      <c r="B578" s="118"/>
      <c r="C578" s="128"/>
      <c r="D578" s="128"/>
      <c r="E578" s="128"/>
      <c r="F578" s="128"/>
      <c r="G578" s="128"/>
      <c r="H578" s="128"/>
      <c r="I578" s="12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</row>
    <row r="579" ht="10.5" customHeight="1">
      <c r="A579" s="127"/>
      <c r="B579" s="118"/>
      <c r="C579" s="128"/>
      <c r="D579" s="128"/>
      <c r="E579" s="128"/>
      <c r="F579" s="128"/>
      <c r="G579" s="128"/>
      <c r="H579" s="128"/>
      <c r="I579" s="12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</row>
    <row r="580" ht="10.5" customHeight="1">
      <c r="A580" s="127"/>
      <c r="B580" s="118"/>
      <c r="C580" s="128"/>
      <c r="D580" s="128"/>
      <c r="E580" s="128"/>
      <c r="F580" s="128"/>
      <c r="G580" s="128"/>
      <c r="H580" s="128"/>
      <c r="I580" s="12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</row>
    <row r="581" ht="10.5" customHeight="1">
      <c r="A581" s="127"/>
      <c r="B581" s="118"/>
      <c r="C581" s="128"/>
      <c r="D581" s="128"/>
      <c r="E581" s="128"/>
      <c r="F581" s="128"/>
      <c r="G581" s="128"/>
      <c r="H581" s="128"/>
      <c r="I581" s="12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</row>
    <row r="582" ht="10.5" customHeight="1">
      <c r="A582" s="127"/>
      <c r="B582" s="118"/>
      <c r="C582" s="128"/>
      <c r="D582" s="128"/>
      <c r="E582" s="128"/>
      <c r="F582" s="128"/>
      <c r="G582" s="128"/>
      <c r="H582" s="128"/>
      <c r="I582" s="12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</row>
    <row r="583" ht="10.5" customHeight="1">
      <c r="A583" s="127"/>
      <c r="B583" s="118"/>
      <c r="C583" s="128"/>
      <c r="D583" s="128"/>
      <c r="E583" s="128"/>
      <c r="F583" s="128"/>
      <c r="G583" s="128"/>
      <c r="H583" s="128"/>
      <c r="I583" s="12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</row>
    <row r="584" ht="10.5" customHeight="1">
      <c r="A584" s="127"/>
      <c r="B584" s="118"/>
      <c r="C584" s="128"/>
      <c r="D584" s="128"/>
      <c r="E584" s="128"/>
      <c r="F584" s="128"/>
      <c r="G584" s="128"/>
      <c r="H584" s="128"/>
      <c r="I584" s="12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</row>
    <row r="585" ht="10.5" customHeight="1">
      <c r="A585" s="127"/>
      <c r="B585" s="118"/>
      <c r="C585" s="128"/>
      <c r="D585" s="128"/>
      <c r="E585" s="128"/>
      <c r="F585" s="128"/>
      <c r="G585" s="128"/>
      <c r="H585" s="128"/>
      <c r="I585" s="12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</row>
    <row r="586" ht="10.5" customHeight="1">
      <c r="A586" s="127"/>
      <c r="B586" s="118"/>
      <c r="C586" s="128"/>
      <c r="D586" s="128"/>
      <c r="E586" s="128"/>
      <c r="F586" s="128"/>
      <c r="G586" s="128"/>
      <c r="H586" s="128"/>
      <c r="I586" s="12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</row>
    <row r="587" ht="10.5" customHeight="1">
      <c r="A587" s="127"/>
      <c r="B587" s="118"/>
      <c r="C587" s="128"/>
      <c r="D587" s="128"/>
      <c r="E587" s="128"/>
      <c r="F587" s="128"/>
      <c r="G587" s="128"/>
      <c r="H587" s="128"/>
      <c r="I587" s="12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</row>
    <row r="588" ht="10.5" customHeight="1">
      <c r="A588" s="127"/>
      <c r="B588" s="118"/>
      <c r="C588" s="128"/>
      <c r="D588" s="128"/>
      <c r="E588" s="128"/>
      <c r="F588" s="128"/>
      <c r="G588" s="128"/>
      <c r="H588" s="128"/>
      <c r="I588" s="12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</row>
    <row r="589" ht="10.5" customHeight="1">
      <c r="A589" s="127"/>
      <c r="B589" s="118"/>
      <c r="C589" s="128"/>
      <c r="D589" s="128"/>
      <c r="E589" s="128"/>
      <c r="F589" s="128"/>
      <c r="G589" s="128"/>
      <c r="H589" s="128"/>
      <c r="I589" s="12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</row>
    <row r="590" ht="10.5" customHeight="1">
      <c r="A590" s="127"/>
      <c r="B590" s="118"/>
      <c r="C590" s="128"/>
      <c r="D590" s="128"/>
      <c r="E590" s="128"/>
      <c r="F590" s="128"/>
      <c r="G590" s="128"/>
      <c r="H590" s="128"/>
      <c r="I590" s="12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</row>
    <row r="591" ht="10.5" customHeight="1">
      <c r="A591" s="127"/>
      <c r="B591" s="118"/>
      <c r="C591" s="128"/>
      <c r="D591" s="128"/>
      <c r="E591" s="128"/>
      <c r="F591" s="128"/>
      <c r="G591" s="128"/>
      <c r="H591" s="128"/>
      <c r="I591" s="12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</row>
    <row r="592" ht="10.5" customHeight="1">
      <c r="A592" s="127"/>
      <c r="B592" s="118"/>
      <c r="C592" s="128"/>
      <c r="D592" s="128"/>
      <c r="E592" s="128"/>
      <c r="F592" s="128"/>
      <c r="G592" s="128"/>
      <c r="H592" s="128"/>
      <c r="I592" s="12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</row>
    <row r="593" ht="10.5" customHeight="1">
      <c r="A593" s="127"/>
      <c r="B593" s="118"/>
      <c r="C593" s="128"/>
      <c r="D593" s="128"/>
      <c r="E593" s="128"/>
      <c r="F593" s="128"/>
      <c r="G593" s="128"/>
      <c r="H593" s="128"/>
      <c r="I593" s="12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</row>
    <row r="594" ht="10.5" customHeight="1">
      <c r="A594" s="127"/>
      <c r="B594" s="118"/>
      <c r="C594" s="128"/>
      <c r="D594" s="128"/>
      <c r="E594" s="128"/>
      <c r="F594" s="128"/>
      <c r="G594" s="128"/>
      <c r="H594" s="128"/>
      <c r="I594" s="12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</row>
    <row r="595" ht="10.5" customHeight="1">
      <c r="A595" s="127"/>
      <c r="B595" s="118"/>
      <c r="C595" s="128"/>
      <c r="D595" s="128"/>
      <c r="E595" s="128"/>
      <c r="F595" s="128"/>
      <c r="G595" s="128"/>
      <c r="H595" s="128"/>
      <c r="I595" s="12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</row>
    <row r="596" ht="10.5" customHeight="1">
      <c r="A596" s="127"/>
      <c r="B596" s="118"/>
      <c r="C596" s="128"/>
      <c r="D596" s="128"/>
      <c r="E596" s="128"/>
      <c r="F596" s="128"/>
      <c r="G596" s="128"/>
      <c r="H596" s="128"/>
      <c r="I596" s="12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</row>
    <row r="597" ht="10.5" customHeight="1">
      <c r="A597" s="127"/>
      <c r="B597" s="118"/>
      <c r="C597" s="128"/>
      <c r="D597" s="128"/>
      <c r="E597" s="128"/>
      <c r="F597" s="128"/>
      <c r="G597" s="128"/>
      <c r="H597" s="128"/>
      <c r="I597" s="12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</row>
    <row r="598" ht="10.5" customHeight="1">
      <c r="A598" s="127"/>
      <c r="B598" s="118"/>
      <c r="C598" s="128"/>
      <c r="D598" s="128"/>
      <c r="E598" s="128"/>
      <c r="F598" s="128"/>
      <c r="G598" s="128"/>
      <c r="H598" s="128"/>
      <c r="I598" s="12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</row>
    <row r="599" ht="10.5" customHeight="1">
      <c r="A599" s="127"/>
      <c r="B599" s="118"/>
      <c r="C599" s="128"/>
      <c r="D599" s="128"/>
      <c r="E599" s="128"/>
      <c r="F599" s="128"/>
      <c r="G599" s="128"/>
      <c r="H599" s="128"/>
      <c r="I599" s="12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</row>
    <row r="600" ht="10.5" customHeight="1">
      <c r="A600" s="127"/>
      <c r="B600" s="118"/>
      <c r="C600" s="128"/>
      <c r="D600" s="128"/>
      <c r="E600" s="128"/>
      <c r="F600" s="128"/>
      <c r="G600" s="128"/>
      <c r="H600" s="128"/>
      <c r="I600" s="12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</row>
    <row r="601" ht="10.5" customHeight="1">
      <c r="A601" s="127"/>
      <c r="B601" s="118"/>
      <c r="C601" s="128"/>
      <c r="D601" s="128"/>
      <c r="E601" s="128"/>
      <c r="F601" s="128"/>
      <c r="G601" s="128"/>
      <c r="H601" s="128"/>
      <c r="I601" s="12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</row>
    <row r="602" ht="10.5" customHeight="1">
      <c r="A602" s="127"/>
      <c r="B602" s="118"/>
      <c r="C602" s="128"/>
      <c r="D602" s="128"/>
      <c r="E602" s="128"/>
      <c r="F602" s="128"/>
      <c r="G602" s="128"/>
      <c r="H602" s="128"/>
      <c r="I602" s="12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</row>
    <row r="603" ht="10.5" customHeight="1">
      <c r="A603" s="127"/>
      <c r="B603" s="118"/>
      <c r="C603" s="128"/>
      <c r="D603" s="128"/>
      <c r="E603" s="128"/>
      <c r="F603" s="128"/>
      <c r="G603" s="128"/>
      <c r="H603" s="128"/>
      <c r="I603" s="12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</row>
    <row r="604" ht="10.5" customHeight="1">
      <c r="A604" s="127"/>
      <c r="B604" s="118"/>
      <c r="C604" s="128"/>
      <c r="D604" s="128"/>
      <c r="E604" s="128"/>
      <c r="F604" s="128"/>
      <c r="G604" s="128"/>
      <c r="H604" s="128"/>
      <c r="I604" s="12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</row>
    <row r="605" ht="10.5" customHeight="1">
      <c r="A605" s="127"/>
      <c r="B605" s="118"/>
      <c r="C605" s="128"/>
      <c r="D605" s="128"/>
      <c r="E605" s="128"/>
      <c r="F605" s="128"/>
      <c r="G605" s="128"/>
      <c r="H605" s="128"/>
      <c r="I605" s="12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</row>
    <row r="606" ht="10.5" customHeight="1">
      <c r="A606" s="127"/>
      <c r="B606" s="118"/>
      <c r="C606" s="128"/>
      <c r="D606" s="128"/>
      <c r="E606" s="128"/>
      <c r="F606" s="128"/>
      <c r="G606" s="128"/>
      <c r="H606" s="128"/>
      <c r="I606" s="12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</row>
    <row r="607" ht="10.5" customHeight="1">
      <c r="A607" s="127"/>
      <c r="B607" s="118"/>
      <c r="C607" s="128"/>
      <c r="D607" s="128"/>
      <c r="E607" s="128"/>
      <c r="F607" s="128"/>
      <c r="G607" s="128"/>
      <c r="H607" s="128"/>
      <c r="I607" s="12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</row>
    <row r="608" ht="10.5" customHeight="1">
      <c r="A608" s="127"/>
      <c r="B608" s="118"/>
      <c r="C608" s="128"/>
      <c r="D608" s="128"/>
      <c r="E608" s="128"/>
      <c r="F608" s="128"/>
      <c r="G608" s="128"/>
      <c r="H608" s="128"/>
      <c r="I608" s="12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</row>
    <row r="609" ht="10.5" customHeight="1">
      <c r="A609" s="127"/>
      <c r="B609" s="118"/>
      <c r="C609" s="128"/>
      <c r="D609" s="128"/>
      <c r="E609" s="128"/>
      <c r="F609" s="128"/>
      <c r="G609" s="128"/>
      <c r="H609" s="128"/>
      <c r="I609" s="12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</row>
    <row r="610" ht="10.5" customHeight="1">
      <c r="A610" s="127"/>
      <c r="B610" s="118"/>
      <c r="C610" s="128"/>
      <c r="D610" s="128"/>
      <c r="E610" s="128"/>
      <c r="F610" s="128"/>
      <c r="G610" s="128"/>
      <c r="H610" s="128"/>
      <c r="I610" s="12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</row>
    <row r="611" ht="10.5" customHeight="1">
      <c r="A611" s="127"/>
      <c r="B611" s="118"/>
      <c r="C611" s="128"/>
      <c r="D611" s="128"/>
      <c r="E611" s="128"/>
      <c r="F611" s="128"/>
      <c r="G611" s="128"/>
      <c r="H611" s="128"/>
      <c r="I611" s="12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</row>
    <row r="612" ht="10.5" customHeight="1">
      <c r="A612" s="127"/>
      <c r="B612" s="118"/>
      <c r="C612" s="128"/>
      <c r="D612" s="128"/>
      <c r="E612" s="128"/>
      <c r="F612" s="128"/>
      <c r="G612" s="128"/>
      <c r="H612" s="128"/>
      <c r="I612" s="12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</row>
    <row r="613" ht="10.5" customHeight="1">
      <c r="A613" s="127"/>
      <c r="B613" s="118"/>
      <c r="C613" s="128"/>
      <c r="D613" s="128"/>
      <c r="E613" s="128"/>
      <c r="F613" s="128"/>
      <c r="G613" s="128"/>
      <c r="H613" s="128"/>
      <c r="I613" s="12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</row>
    <row r="614" ht="10.5" customHeight="1">
      <c r="A614" s="127"/>
      <c r="B614" s="118"/>
      <c r="C614" s="128"/>
      <c r="D614" s="128"/>
      <c r="E614" s="128"/>
      <c r="F614" s="128"/>
      <c r="G614" s="128"/>
      <c r="H614" s="128"/>
      <c r="I614" s="12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</row>
    <row r="615" ht="10.5" customHeight="1">
      <c r="A615" s="127"/>
      <c r="B615" s="118"/>
      <c r="C615" s="128"/>
      <c r="D615" s="128"/>
      <c r="E615" s="128"/>
      <c r="F615" s="128"/>
      <c r="G615" s="128"/>
      <c r="H615" s="128"/>
      <c r="I615" s="12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</row>
    <row r="616" ht="10.5" customHeight="1">
      <c r="A616" s="127"/>
      <c r="B616" s="118"/>
      <c r="C616" s="128"/>
      <c r="D616" s="128"/>
      <c r="E616" s="128"/>
      <c r="F616" s="128"/>
      <c r="G616" s="128"/>
      <c r="H616" s="128"/>
      <c r="I616" s="12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</row>
    <row r="617" ht="10.5" customHeight="1">
      <c r="A617" s="127"/>
      <c r="B617" s="118"/>
      <c r="C617" s="128"/>
      <c r="D617" s="128"/>
      <c r="E617" s="128"/>
      <c r="F617" s="128"/>
      <c r="G617" s="128"/>
      <c r="H617" s="128"/>
      <c r="I617" s="12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</row>
    <row r="618" ht="10.5" customHeight="1">
      <c r="A618" s="127"/>
      <c r="B618" s="118"/>
      <c r="C618" s="128"/>
      <c r="D618" s="128"/>
      <c r="E618" s="128"/>
      <c r="F618" s="128"/>
      <c r="G618" s="128"/>
      <c r="H618" s="128"/>
      <c r="I618" s="12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</row>
    <row r="619" ht="10.5" customHeight="1">
      <c r="A619" s="127"/>
      <c r="B619" s="118"/>
      <c r="C619" s="128"/>
      <c r="D619" s="128"/>
      <c r="E619" s="128"/>
      <c r="F619" s="128"/>
      <c r="G619" s="128"/>
      <c r="H619" s="128"/>
      <c r="I619" s="12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</row>
    <row r="620" ht="10.5" customHeight="1">
      <c r="A620" s="127"/>
      <c r="B620" s="118"/>
      <c r="C620" s="128"/>
      <c r="D620" s="128"/>
      <c r="E620" s="128"/>
      <c r="F620" s="128"/>
      <c r="G620" s="128"/>
      <c r="H620" s="128"/>
      <c r="I620" s="12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</row>
    <row r="621" ht="10.5" customHeight="1">
      <c r="A621" s="127"/>
      <c r="B621" s="118"/>
      <c r="C621" s="128"/>
      <c r="D621" s="128"/>
      <c r="E621" s="128"/>
      <c r="F621" s="128"/>
      <c r="G621" s="128"/>
      <c r="H621" s="128"/>
      <c r="I621" s="12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</row>
    <row r="622" ht="10.5" customHeight="1">
      <c r="A622" s="127"/>
      <c r="B622" s="118"/>
      <c r="C622" s="128"/>
      <c r="D622" s="128"/>
      <c r="E622" s="128"/>
      <c r="F622" s="128"/>
      <c r="G622" s="128"/>
      <c r="H622" s="128"/>
      <c r="I622" s="12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</row>
    <row r="623" ht="10.5" customHeight="1">
      <c r="A623" s="127"/>
      <c r="B623" s="118"/>
      <c r="C623" s="128"/>
      <c r="D623" s="128"/>
      <c r="E623" s="128"/>
      <c r="F623" s="128"/>
      <c r="G623" s="128"/>
      <c r="H623" s="128"/>
      <c r="I623" s="12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</row>
    <row r="624" ht="10.5" customHeight="1">
      <c r="A624" s="127"/>
      <c r="B624" s="118"/>
      <c r="C624" s="128"/>
      <c r="D624" s="128"/>
      <c r="E624" s="128"/>
      <c r="F624" s="128"/>
      <c r="G624" s="128"/>
      <c r="H624" s="128"/>
      <c r="I624" s="12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</row>
    <row r="625" ht="10.5" customHeight="1">
      <c r="A625" s="127"/>
      <c r="B625" s="118"/>
      <c r="C625" s="128"/>
      <c r="D625" s="128"/>
      <c r="E625" s="128"/>
      <c r="F625" s="128"/>
      <c r="G625" s="128"/>
      <c r="H625" s="128"/>
      <c r="I625" s="12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</row>
    <row r="626" ht="10.5" customHeight="1">
      <c r="A626" s="127"/>
      <c r="B626" s="118"/>
      <c r="C626" s="128"/>
      <c r="D626" s="128"/>
      <c r="E626" s="128"/>
      <c r="F626" s="128"/>
      <c r="G626" s="128"/>
      <c r="H626" s="128"/>
      <c r="I626" s="12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</row>
    <row r="627" ht="10.5" customHeight="1">
      <c r="A627" s="127"/>
      <c r="B627" s="118"/>
      <c r="C627" s="128"/>
      <c r="D627" s="128"/>
      <c r="E627" s="128"/>
      <c r="F627" s="128"/>
      <c r="G627" s="128"/>
      <c r="H627" s="128"/>
      <c r="I627" s="12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</row>
    <row r="628" ht="10.5" customHeight="1">
      <c r="A628" s="127"/>
      <c r="B628" s="118"/>
      <c r="C628" s="128"/>
      <c r="D628" s="128"/>
      <c r="E628" s="128"/>
      <c r="F628" s="128"/>
      <c r="G628" s="128"/>
      <c r="H628" s="128"/>
      <c r="I628" s="12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</row>
    <row r="629" ht="10.5" customHeight="1">
      <c r="A629" s="127"/>
      <c r="B629" s="118"/>
      <c r="C629" s="128"/>
      <c r="D629" s="128"/>
      <c r="E629" s="128"/>
      <c r="F629" s="128"/>
      <c r="G629" s="128"/>
      <c r="H629" s="128"/>
      <c r="I629" s="12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</row>
    <row r="630" ht="10.5" customHeight="1">
      <c r="A630" s="127"/>
      <c r="B630" s="118"/>
      <c r="C630" s="128"/>
      <c r="D630" s="128"/>
      <c r="E630" s="128"/>
      <c r="F630" s="128"/>
      <c r="G630" s="128"/>
      <c r="H630" s="128"/>
      <c r="I630" s="12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</row>
    <row r="631" ht="10.5" customHeight="1">
      <c r="A631" s="127"/>
      <c r="B631" s="118"/>
      <c r="C631" s="128"/>
      <c r="D631" s="128"/>
      <c r="E631" s="128"/>
      <c r="F631" s="128"/>
      <c r="G631" s="128"/>
      <c r="H631" s="128"/>
      <c r="I631" s="12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</row>
    <row r="632" ht="10.5" customHeight="1">
      <c r="A632" s="127"/>
      <c r="B632" s="118"/>
      <c r="C632" s="128"/>
      <c r="D632" s="128"/>
      <c r="E632" s="128"/>
      <c r="F632" s="128"/>
      <c r="G632" s="128"/>
      <c r="H632" s="128"/>
      <c r="I632" s="12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</row>
    <row r="633" ht="10.5" customHeight="1">
      <c r="A633" s="127"/>
      <c r="B633" s="118"/>
      <c r="C633" s="128"/>
      <c r="D633" s="128"/>
      <c r="E633" s="128"/>
      <c r="F633" s="128"/>
      <c r="G633" s="128"/>
      <c r="H633" s="128"/>
      <c r="I633" s="12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</row>
    <row r="634" ht="10.5" customHeight="1">
      <c r="A634" s="127"/>
      <c r="B634" s="118"/>
      <c r="C634" s="128"/>
      <c r="D634" s="128"/>
      <c r="E634" s="128"/>
      <c r="F634" s="128"/>
      <c r="G634" s="128"/>
      <c r="H634" s="128"/>
      <c r="I634" s="12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</row>
    <row r="635" ht="10.5" customHeight="1">
      <c r="A635" s="127"/>
      <c r="B635" s="118"/>
      <c r="C635" s="128"/>
      <c r="D635" s="128"/>
      <c r="E635" s="128"/>
      <c r="F635" s="128"/>
      <c r="G635" s="128"/>
      <c r="H635" s="128"/>
      <c r="I635" s="12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</row>
    <row r="636" ht="10.5" customHeight="1">
      <c r="A636" s="127"/>
      <c r="B636" s="118"/>
      <c r="C636" s="128"/>
      <c r="D636" s="128"/>
      <c r="E636" s="128"/>
      <c r="F636" s="128"/>
      <c r="G636" s="128"/>
      <c r="H636" s="128"/>
      <c r="I636" s="12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</row>
    <row r="637" ht="10.5" customHeight="1">
      <c r="A637" s="127"/>
      <c r="B637" s="118"/>
      <c r="C637" s="128"/>
      <c r="D637" s="128"/>
      <c r="E637" s="128"/>
      <c r="F637" s="128"/>
      <c r="G637" s="128"/>
      <c r="H637" s="128"/>
      <c r="I637" s="12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</row>
    <row r="638" ht="10.5" customHeight="1">
      <c r="A638" s="127"/>
      <c r="B638" s="118"/>
      <c r="C638" s="128"/>
      <c r="D638" s="128"/>
      <c r="E638" s="128"/>
      <c r="F638" s="128"/>
      <c r="G638" s="128"/>
      <c r="H638" s="128"/>
      <c r="I638" s="12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</row>
    <row r="639" ht="10.5" customHeight="1">
      <c r="A639" s="127"/>
      <c r="B639" s="118"/>
      <c r="C639" s="128"/>
      <c r="D639" s="128"/>
      <c r="E639" s="128"/>
      <c r="F639" s="128"/>
      <c r="G639" s="128"/>
      <c r="H639" s="128"/>
      <c r="I639" s="12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</row>
    <row r="640" ht="10.5" customHeight="1">
      <c r="A640" s="127"/>
      <c r="B640" s="118"/>
      <c r="C640" s="128"/>
      <c r="D640" s="128"/>
      <c r="E640" s="128"/>
      <c r="F640" s="128"/>
      <c r="G640" s="128"/>
      <c r="H640" s="128"/>
      <c r="I640" s="12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</row>
    <row r="641" ht="10.5" customHeight="1">
      <c r="A641" s="127"/>
      <c r="B641" s="118"/>
      <c r="C641" s="128"/>
      <c r="D641" s="128"/>
      <c r="E641" s="128"/>
      <c r="F641" s="128"/>
      <c r="G641" s="128"/>
      <c r="H641" s="128"/>
      <c r="I641" s="12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</row>
    <row r="642" ht="10.5" customHeight="1">
      <c r="A642" s="127"/>
      <c r="B642" s="118"/>
      <c r="C642" s="128"/>
      <c r="D642" s="128"/>
      <c r="E642" s="128"/>
      <c r="F642" s="128"/>
      <c r="G642" s="128"/>
      <c r="H642" s="128"/>
      <c r="I642" s="12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</row>
    <row r="643" ht="10.5" customHeight="1">
      <c r="A643" s="127"/>
      <c r="B643" s="118"/>
      <c r="C643" s="128"/>
      <c r="D643" s="128"/>
      <c r="E643" s="128"/>
      <c r="F643" s="128"/>
      <c r="G643" s="128"/>
      <c r="H643" s="128"/>
      <c r="I643" s="12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</row>
    <row r="644" ht="10.5" customHeight="1">
      <c r="A644" s="127"/>
      <c r="B644" s="118"/>
      <c r="C644" s="128"/>
      <c r="D644" s="128"/>
      <c r="E644" s="128"/>
      <c r="F644" s="128"/>
      <c r="G644" s="128"/>
      <c r="H644" s="128"/>
      <c r="I644" s="12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</row>
    <row r="645" ht="10.5" customHeight="1">
      <c r="A645" s="127"/>
      <c r="B645" s="118"/>
      <c r="C645" s="128"/>
      <c r="D645" s="128"/>
      <c r="E645" s="128"/>
      <c r="F645" s="128"/>
      <c r="G645" s="128"/>
      <c r="H645" s="128"/>
      <c r="I645" s="12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</row>
    <row r="646" ht="10.5" customHeight="1">
      <c r="A646" s="127"/>
      <c r="B646" s="118"/>
      <c r="C646" s="128"/>
      <c r="D646" s="128"/>
      <c r="E646" s="128"/>
      <c r="F646" s="128"/>
      <c r="G646" s="128"/>
      <c r="H646" s="128"/>
      <c r="I646" s="12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</row>
    <row r="647" ht="10.5" customHeight="1">
      <c r="A647" s="127"/>
      <c r="B647" s="118"/>
      <c r="C647" s="128"/>
      <c r="D647" s="128"/>
      <c r="E647" s="128"/>
      <c r="F647" s="128"/>
      <c r="G647" s="128"/>
      <c r="H647" s="128"/>
      <c r="I647" s="12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</row>
    <row r="648" ht="10.5" customHeight="1">
      <c r="A648" s="127"/>
      <c r="B648" s="118"/>
      <c r="C648" s="128"/>
      <c r="D648" s="128"/>
      <c r="E648" s="128"/>
      <c r="F648" s="128"/>
      <c r="G648" s="128"/>
      <c r="H648" s="128"/>
      <c r="I648" s="12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</row>
    <row r="649" ht="10.5" customHeight="1">
      <c r="A649" s="127"/>
      <c r="B649" s="118"/>
      <c r="C649" s="128"/>
      <c r="D649" s="128"/>
      <c r="E649" s="128"/>
      <c r="F649" s="128"/>
      <c r="G649" s="128"/>
      <c r="H649" s="128"/>
      <c r="I649" s="12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</row>
    <row r="650" ht="10.5" customHeight="1">
      <c r="A650" s="127"/>
      <c r="B650" s="118"/>
      <c r="C650" s="128"/>
      <c r="D650" s="128"/>
      <c r="E650" s="128"/>
      <c r="F650" s="128"/>
      <c r="G650" s="128"/>
      <c r="H650" s="128"/>
      <c r="I650" s="12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</row>
    <row r="651" ht="10.5" customHeight="1">
      <c r="A651" s="127"/>
      <c r="B651" s="118"/>
      <c r="C651" s="128"/>
      <c r="D651" s="128"/>
      <c r="E651" s="128"/>
      <c r="F651" s="128"/>
      <c r="G651" s="128"/>
      <c r="H651" s="128"/>
      <c r="I651" s="12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</row>
    <row r="652" ht="10.5" customHeight="1">
      <c r="A652" s="127"/>
      <c r="B652" s="118"/>
      <c r="C652" s="128"/>
      <c r="D652" s="128"/>
      <c r="E652" s="128"/>
      <c r="F652" s="128"/>
      <c r="G652" s="128"/>
      <c r="H652" s="128"/>
      <c r="I652" s="12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</row>
    <row r="653" ht="10.5" customHeight="1">
      <c r="A653" s="127"/>
      <c r="B653" s="118"/>
      <c r="C653" s="128"/>
      <c r="D653" s="128"/>
      <c r="E653" s="128"/>
      <c r="F653" s="128"/>
      <c r="G653" s="128"/>
      <c r="H653" s="128"/>
      <c r="I653" s="12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</row>
    <row r="654" ht="10.5" customHeight="1">
      <c r="A654" s="127"/>
      <c r="B654" s="118"/>
      <c r="C654" s="128"/>
      <c r="D654" s="128"/>
      <c r="E654" s="128"/>
      <c r="F654" s="128"/>
      <c r="G654" s="128"/>
      <c r="H654" s="128"/>
      <c r="I654" s="12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</row>
    <row r="655" ht="10.5" customHeight="1">
      <c r="A655" s="127"/>
      <c r="B655" s="118"/>
      <c r="C655" s="128"/>
      <c r="D655" s="128"/>
      <c r="E655" s="128"/>
      <c r="F655" s="128"/>
      <c r="G655" s="128"/>
      <c r="H655" s="128"/>
      <c r="I655" s="12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</row>
    <row r="656" ht="10.5" customHeight="1">
      <c r="A656" s="127"/>
      <c r="B656" s="118"/>
      <c r="C656" s="128"/>
      <c r="D656" s="128"/>
      <c r="E656" s="128"/>
      <c r="F656" s="128"/>
      <c r="G656" s="128"/>
      <c r="H656" s="128"/>
      <c r="I656" s="12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</row>
    <row r="657" ht="10.5" customHeight="1">
      <c r="A657" s="127"/>
      <c r="B657" s="118"/>
      <c r="C657" s="128"/>
      <c r="D657" s="128"/>
      <c r="E657" s="128"/>
      <c r="F657" s="128"/>
      <c r="G657" s="128"/>
      <c r="H657" s="128"/>
      <c r="I657" s="12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</row>
    <row r="658" ht="10.5" customHeight="1">
      <c r="A658" s="127"/>
      <c r="B658" s="118"/>
      <c r="C658" s="128"/>
      <c r="D658" s="128"/>
      <c r="E658" s="128"/>
      <c r="F658" s="128"/>
      <c r="G658" s="128"/>
      <c r="H658" s="128"/>
      <c r="I658" s="12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</row>
    <row r="659" ht="10.5" customHeight="1">
      <c r="A659" s="127"/>
      <c r="B659" s="118"/>
      <c r="C659" s="128"/>
      <c r="D659" s="128"/>
      <c r="E659" s="128"/>
      <c r="F659" s="128"/>
      <c r="G659" s="128"/>
      <c r="H659" s="128"/>
      <c r="I659" s="12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</row>
    <row r="660" ht="10.5" customHeight="1">
      <c r="A660" s="127"/>
      <c r="B660" s="118"/>
      <c r="C660" s="128"/>
      <c r="D660" s="128"/>
      <c r="E660" s="128"/>
      <c r="F660" s="128"/>
      <c r="G660" s="128"/>
      <c r="H660" s="128"/>
      <c r="I660" s="12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</row>
    <row r="661" ht="10.5" customHeight="1">
      <c r="A661" s="127"/>
      <c r="B661" s="118"/>
      <c r="C661" s="128"/>
      <c r="D661" s="128"/>
      <c r="E661" s="128"/>
      <c r="F661" s="128"/>
      <c r="G661" s="128"/>
      <c r="H661" s="128"/>
      <c r="I661" s="12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</row>
    <row r="662" ht="10.5" customHeight="1">
      <c r="A662" s="127"/>
      <c r="B662" s="118"/>
      <c r="C662" s="128"/>
      <c r="D662" s="128"/>
      <c r="E662" s="128"/>
      <c r="F662" s="128"/>
      <c r="G662" s="128"/>
      <c r="H662" s="128"/>
      <c r="I662" s="12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</row>
    <row r="663" ht="10.5" customHeight="1">
      <c r="A663" s="127"/>
      <c r="B663" s="118"/>
      <c r="C663" s="128"/>
      <c r="D663" s="128"/>
      <c r="E663" s="128"/>
      <c r="F663" s="128"/>
      <c r="G663" s="128"/>
      <c r="H663" s="128"/>
      <c r="I663" s="12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</row>
    <row r="664" ht="10.5" customHeight="1">
      <c r="A664" s="127"/>
      <c r="B664" s="118"/>
      <c r="C664" s="128"/>
      <c r="D664" s="128"/>
      <c r="E664" s="128"/>
      <c r="F664" s="128"/>
      <c r="G664" s="128"/>
      <c r="H664" s="128"/>
      <c r="I664" s="12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</row>
    <row r="665" ht="10.5" customHeight="1">
      <c r="A665" s="127"/>
      <c r="B665" s="118"/>
      <c r="C665" s="128"/>
      <c r="D665" s="128"/>
      <c r="E665" s="128"/>
      <c r="F665" s="128"/>
      <c r="G665" s="128"/>
      <c r="H665" s="128"/>
      <c r="I665" s="12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</row>
    <row r="666" ht="10.5" customHeight="1">
      <c r="A666" s="127"/>
      <c r="B666" s="118"/>
      <c r="C666" s="128"/>
      <c r="D666" s="128"/>
      <c r="E666" s="128"/>
      <c r="F666" s="128"/>
      <c r="G666" s="128"/>
      <c r="H666" s="128"/>
      <c r="I666" s="12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</row>
    <row r="667" ht="10.5" customHeight="1">
      <c r="A667" s="127"/>
      <c r="B667" s="118"/>
      <c r="C667" s="128"/>
      <c r="D667" s="128"/>
      <c r="E667" s="128"/>
      <c r="F667" s="128"/>
      <c r="G667" s="128"/>
      <c r="H667" s="128"/>
      <c r="I667" s="12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</row>
    <row r="668" ht="10.5" customHeight="1">
      <c r="A668" s="127"/>
      <c r="B668" s="118"/>
      <c r="C668" s="128"/>
      <c r="D668" s="128"/>
      <c r="E668" s="128"/>
      <c r="F668" s="128"/>
      <c r="G668" s="128"/>
      <c r="H668" s="128"/>
      <c r="I668" s="12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</row>
    <row r="669" ht="10.5" customHeight="1">
      <c r="A669" s="127"/>
      <c r="B669" s="118"/>
      <c r="C669" s="128"/>
      <c r="D669" s="128"/>
      <c r="E669" s="128"/>
      <c r="F669" s="128"/>
      <c r="G669" s="128"/>
      <c r="H669" s="128"/>
      <c r="I669" s="12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</row>
    <row r="670" ht="10.5" customHeight="1">
      <c r="A670" s="127"/>
      <c r="B670" s="118"/>
      <c r="C670" s="128"/>
      <c r="D670" s="128"/>
      <c r="E670" s="128"/>
      <c r="F670" s="128"/>
      <c r="G670" s="128"/>
      <c r="H670" s="128"/>
      <c r="I670" s="12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</row>
    <row r="671" ht="10.5" customHeight="1">
      <c r="A671" s="127"/>
      <c r="B671" s="118"/>
      <c r="C671" s="128"/>
      <c r="D671" s="128"/>
      <c r="E671" s="128"/>
      <c r="F671" s="128"/>
      <c r="G671" s="128"/>
      <c r="H671" s="128"/>
      <c r="I671" s="12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</row>
    <row r="672" ht="10.5" customHeight="1">
      <c r="A672" s="127"/>
      <c r="B672" s="118"/>
      <c r="C672" s="128"/>
      <c r="D672" s="128"/>
      <c r="E672" s="128"/>
      <c r="F672" s="128"/>
      <c r="G672" s="128"/>
      <c r="H672" s="128"/>
      <c r="I672" s="12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</row>
    <row r="673" ht="10.5" customHeight="1">
      <c r="A673" s="127"/>
      <c r="B673" s="118"/>
      <c r="C673" s="128"/>
      <c r="D673" s="128"/>
      <c r="E673" s="128"/>
      <c r="F673" s="128"/>
      <c r="G673" s="128"/>
      <c r="H673" s="128"/>
      <c r="I673" s="12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</row>
    <row r="674" ht="10.5" customHeight="1">
      <c r="A674" s="127"/>
      <c r="B674" s="118"/>
      <c r="C674" s="128"/>
      <c r="D674" s="128"/>
      <c r="E674" s="128"/>
      <c r="F674" s="128"/>
      <c r="G674" s="128"/>
      <c r="H674" s="128"/>
      <c r="I674" s="12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</row>
    <row r="675" ht="10.5" customHeight="1">
      <c r="A675" s="127"/>
      <c r="B675" s="118"/>
      <c r="C675" s="128"/>
      <c r="D675" s="128"/>
      <c r="E675" s="128"/>
      <c r="F675" s="128"/>
      <c r="G675" s="128"/>
      <c r="H675" s="128"/>
      <c r="I675" s="12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</row>
    <row r="676" ht="10.5" customHeight="1">
      <c r="A676" s="127"/>
      <c r="B676" s="118"/>
      <c r="C676" s="128"/>
      <c r="D676" s="128"/>
      <c r="E676" s="128"/>
      <c r="F676" s="128"/>
      <c r="G676" s="128"/>
      <c r="H676" s="128"/>
      <c r="I676" s="12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</row>
    <row r="677" ht="10.5" customHeight="1">
      <c r="A677" s="127"/>
      <c r="B677" s="118"/>
      <c r="C677" s="128"/>
      <c r="D677" s="128"/>
      <c r="E677" s="128"/>
      <c r="F677" s="128"/>
      <c r="G677" s="128"/>
      <c r="H677" s="128"/>
      <c r="I677" s="12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</row>
    <row r="678" ht="10.5" customHeight="1">
      <c r="A678" s="127"/>
      <c r="B678" s="118"/>
      <c r="C678" s="128"/>
      <c r="D678" s="128"/>
      <c r="E678" s="128"/>
      <c r="F678" s="128"/>
      <c r="G678" s="128"/>
      <c r="H678" s="128"/>
      <c r="I678" s="12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</row>
    <row r="679" ht="10.5" customHeight="1">
      <c r="A679" s="127"/>
      <c r="B679" s="118"/>
      <c r="C679" s="128"/>
      <c r="D679" s="128"/>
      <c r="E679" s="128"/>
      <c r="F679" s="128"/>
      <c r="G679" s="128"/>
      <c r="H679" s="128"/>
      <c r="I679" s="12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</row>
    <row r="680" ht="10.5" customHeight="1">
      <c r="A680" s="127"/>
      <c r="B680" s="118"/>
      <c r="C680" s="128"/>
      <c r="D680" s="128"/>
      <c r="E680" s="128"/>
      <c r="F680" s="128"/>
      <c r="G680" s="128"/>
      <c r="H680" s="128"/>
      <c r="I680" s="12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</row>
    <row r="681" ht="10.5" customHeight="1">
      <c r="A681" s="127"/>
      <c r="B681" s="118"/>
      <c r="C681" s="128"/>
      <c r="D681" s="128"/>
      <c r="E681" s="128"/>
      <c r="F681" s="128"/>
      <c r="G681" s="128"/>
      <c r="H681" s="128"/>
      <c r="I681" s="12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</row>
    <row r="682" ht="10.5" customHeight="1">
      <c r="A682" s="127"/>
      <c r="B682" s="118"/>
      <c r="C682" s="128"/>
      <c r="D682" s="128"/>
      <c r="E682" s="128"/>
      <c r="F682" s="128"/>
      <c r="G682" s="128"/>
      <c r="H682" s="128"/>
      <c r="I682" s="12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</row>
    <row r="683" ht="10.5" customHeight="1">
      <c r="A683" s="127"/>
      <c r="B683" s="118"/>
      <c r="C683" s="128"/>
      <c r="D683" s="128"/>
      <c r="E683" s="128"/>
      <c r="F683" s="128"/>
      <c r="G683" s="128"/>
      <c r="H683" s="128"/>
      <c r="I683" s="12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</row>
    <row r="684" ht="10.5" customHeight="1">
      <c r="A684" s="127"/>
      <c r="B684" s="118"/>
      <c r="C684" s="128"/>
      <c r="D684" s="128"/>
      <c r="E684" s="128"/>
      <c r="F684" s="128"/>
      <c r="G684" s="128"/>
      <c r="H684" s="128"/>
      <c r="I684" s="12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</row>
    <row r="685" ht="10.5" customHeight="1">
      <c r="A685" s="127"/>
      <c r="B685" s="118"/>
      <c r="C685" s="128"/>
      <c r="D685" s="128"/>
      <c r="E685" s="128"/>
      <c r="F685" s="128"/>
      <c r="G685" s="128"/>
      <c r="H685" s="128"/>
      <c r="I685" s="12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</row>
    <row r="686" ht="10.5" customHeight="1">
      <c r="A686" s="127"/>
      <c r="B686" s="118"/>
      <c r="C686" s="128"/>
      <c r="D686" s="128"/>
      <c r="E686" s="128"/>
      <c r="F686" s="128"/>
      <c r="G686" s="128"/>
      <c r="H686" s="128"/>
      <c r="I686" s="12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</row>
    <row r="687" ht="10.5" customHeight="1">
      <c r="A687" s="127"/>
      <c r="B687" s="118"/>
      <c r="C687" s="128"/>
      <c r="D687" s="128"/>
      <c r="E687" s="128"/>
      <c r="F687" s="128"/>
      <c r="G687" s="128"/>
      <c r="H687" s="128"/>
      <c r="I687" s="12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</row>
    <row r="688" ht="10.5" customHeight="1">
      <c r="A688" s="127"/>
      <c r="B688" s="118"/>
      <c r="C688" s="128"/>
      <c r="D688" s="128"/>
      <c r="E688" s="128"/>
      <c r="F688" s="128"/>
      <c r="G688" s="128"/>
      <c r="H688" s="128"/>
      <c r="I688" s="12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</row>
    <row r="689" ht="10.5" customHeight="1">
      <c r="A689" s="127"/>
      <c r="B689" s="118"/>
      <c r="C689" s="128"/>
      <c r="D689" s="128"/>
      <c r="E689" s="128"/>
      <c r="F689" s="128"/>
      <c r="G689" s="128"/>
      <c r="H689" s="128"/>
      <c r="I689" s="12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</row>
    <row r="690" ht="10.5" customHeight="1">
      <c r="A690" s="127"/>
      <c r="B690" s="118"/>
      <c r="C690" s="128"/>
      <c r="D690" s="128"/>
      <c r="E690" s="128"/>
      <c r="F690" s="128"/>
      <c r="G690" s="128"/>
      <c r="H690" s="128"/>
      <c r="I690" s="12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</row>
    <row r="691" ht="10.5" customHeight="1">
      <c r="A691" s="127"/>
      <c r="B691" s="118"/>
      <c r="C691" s="128"/>
      <c r="D691" s="128"/>
      <c r="E691" s="128"/>
      <c r="F691" s="128"/>
      <c r="G691" s="128"/>
      <c r="H691" s="128"/>
      <c r="I691" s="12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</row>
    <row r="692" ht="10.5" customHeight="1">
      <c r="A692" s="127"/>
      <c r="B692" s="118"/>
      <c r="C692" s="128"/>
      <c r="D692" s="128"/>
      <c r="E692" s="128"/>
      <c r="F692" s="128"/>
      <c r="G692" s="128"/>
      <c r="H692" s="128"/>
      <c r="I692" s="12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</row>
    <row r="693" ht="10.5" customHeight="1">
      <c r="A693" s="127"/>
      <c r="B693" s="118"/>
      <c r="C693" s="128"/>
      <c r="D693" s="128"/>
      <c r="E693" s="128"/>
      <c r="F693" s="128"/>
      <c r="G693" s="128"/>
      <c r="H693" s="128"/>
      <c r="I693" s="12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</row>
    <row r="694" ht="10.5" customHeight="1">
      <c r="A694" s="127"/>
      <c r="B694" s="118"/>
      <c r="C694" s="128"/>
      <c r="D694" s="128"/>
      <c r="E694" s="128"/>
      <c r="F694" s="128"/>
      <c r="G694" s="128"/>
      <c r="H694" s="128"/>
      <c r="I694" s="12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</row>
    <row r="695" ht="10.5" customHeight="1">
      <c r="A695" s="127"/>
      <c r="B695" s="118"/>
      <c r="C695" s="128"/>
      <c r="D695" s="128"/>
      <c r="E695" s="128"/>
      <c r="F695" s="128"/>
      <c r="G695" s="128"/>
      <c r="H695" s="128"/>
      <c r="I695" s="12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</row>
    <row r="696" ht="10.5" customHeight="1">
      <c r="A696" s="127"/>
      <c r="B696" s="118"/>
      <c r="C696" s="128"/>
      <c r="D696" s="128"/>
      <c r="E696" s="128"/>
      <c r="F696" s="128"/>
      <c r="G696" s="128"/>
      <c r="H696" s="128"/>
      <c r="I696" s="12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</row>
    <row r="697" ht="10.5" customHeight="1">
      <c r="A697" s="127"/>
      <c r="B697" s="118"/>
      <c r="C697" s="128"/>
      <c r="D697" s="128"/>
      <c r="E697" s="128"/>
      <c r="F697" s="128"/>
      <c r="G697" s="128"/>
      <c r="H697" s="128"/>
      <c r="I697" s="12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</row>
    <row r="698" ht="10.5" customHeight="1">
      <c r="A698" s="127"/>
      <c r="B698" s="118"/>
      <c r="C698" s="128"/>
      <c r="D698" s="128"/>
      <c r="E698" s="128"/>
      <c r="F698" s="128"/>
      <c r="G698" s="128"/>
      <c r="H698" s="128"/>
      <c r="I698" s="12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</row>
    <row r="699" ht="10.5" customHeight="1">
      <c r="A699" s="127"/>
      <c r="B699" s="118"/>
      <c r="C699" s="128"/>
      <c r="D699" s="128"/>
      <c r="E699" s="128"/>
      <c r="F699" s="128"/>
      <c r="G699" s="128"/>
      <c r="H699" s="128"/>
      <c r="I699" s="12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</row>
    <row r="700" ht="10.5" customHeight="1">
      <c r="A700" s="127"/>
      <c r="B700" s="118"/>
      <c r="C700" s="128"/>
      <c r="D700" s="128"/>
      <c r="E700" s="128"/>
      <c r="F700" s="128"/>
      <c r="G700" s="128"/>
      <c r="H700" s="128"/>
      <c r="I700" s="12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</row>
    <row r="701" ht="10.5" customHeight="1">
      <c r="A701" s="127"/>
      <c r="B701" s="118"/>
      <c r="C701" s="128"/>
      <c r="D701" s="128"/>
      <c r="E701" s="128"/>
      <c r="F701" s="128"/>
      <c r="G701" s="128"/>
      <c r="H701" s="128"/>
      <c r="I701" s="12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</row>
    <row r="702" ht="10.5" customHeight="1">
      <c r="A702" s="127"/>
      <c r="B702" s="118"/>
      <c r="C702" s="128"/>
      <c r="D702" s="128"/>
      <c r="E702" s="128"/>
      <c r="F702" s="128"/>
      <c r="G702" s="128"/>
      <c r="H702" s="128"/>
      <c r="I702" s="12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</row>
    <row r="703" ht="10.5" customHeight="1">
      <c r="A703" s="127"/>
      <c r="B703" s="118"/>
      <c r="C703" s="128"/>
      <c r="D703" s="128"/>
      <c r="E703" s="128"/>
      <c r="F703" s="128"/>
      <c r="G703" s="128"/>
      <c r="H703" s="128"/>
      <c r="I703" s="12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</row>
    <row r="704" ht="10.5" customHeight="1">
      <c r="A704" s="127"/>
      <c r="B704" s="118"/>
      <c r="C704" s="128"/>
      <c r="D704" s="128"/>
      <c r="E704" s="128"/>
      <c r="F704" s="128"/>
      <c r="G704" s="128"/>
      <c r="H704" s="128"/>
      <c r="I704" s="12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</row>
    <row r="705" ht="10.5" customHeight="1">
      <c r="A705" s="127"/>
      <c r="B705" s="118"/>
      <c r="C705" s="128"/>
      <c r="D705" s="128"/>
      <c r="E705" s="128"/>
      <c r="F705" s="128"/>
      <c r="G705" s="128"/>
      <c r="H705" s="128"/>
      <c r="I705" s="12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</row>
    <row r="706" ht="10.5" customHeight="1">
      <c r="A706" s="127"/>
      <c r="B706" s="118"/>
      <c r="C706" s="128"/>
      <c r="D706" s="128"/>
      <c r="E706" s="128"/>
      <c r="F706" s="128"/>
      <c r="G706" s="128"/>
      <c r="H706" s="128"/>
      <c r="I706" s="12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</row>
    <row r="707" ht="10.5" customHeight="1">
      <c r="A707" s="127"/>
      <c r="B707" s="118"/>
      <c r="C707" s="128"/>
      <c r="D707" s="128"/>
      <c r="E707" s="128"/>
      <c r="F707" s="128"/>
      <c r="G707" s="128"/>
      <c r="H707" s="128"/>
      <c r="I707" s="12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</row>
    <row r="708" ht="10.5" customHeight="1">
      <c r="A708" s="127"/>
      <c r="B708" s="118"/>
      <c r="C708" s="128"/>
      <c r="D708" s="128"/>
      <c r="E708" s="128"/>
      <c r="F708" s="128"/>
      <c r="G708" s="128"/>
      <c r="H708" s="128"/>
      <c r="I708" s="12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</row>
    <row r="709" ht="10.5" customHeight="1">
      <c r="A709" s="127"/>
      <c r="B709" s="118"/>
      <c r="C709" s="128"/>
      <c r="D709" s="128"/>
      <c r="E709" s="128"/>
      <c r="F709" s="128"/>
      <c r="G709" s="128"/>
      <c r="H709" s="128"/>
      <c r="I709" s="12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</row>
    <row r="710" ht="10.5" customHeight="1">
      <c r="A710" s="127"/>
      <c r="B710" s="118"/>
      <c r="C710" s="128"/>
      <c r="D710" s="128"/>
      <c r="E710" s="128"/>
      <c r="F710" s="128"/>
      <c r="G710" s="128"/>
      <c r="H710" s="128"/>
      <c r="I710" s="12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</row>
    <row r="711" ht="10.5" customHeight="1">
      <c r="A711" s="127"/>
      <c r="B711" s="118"/>
      <c r="C711" s="128"/>
      <c r="D711" s="128"/>
      <c r="E711" s="128"/>
      <c r="F711" s="128"/>
      <c r="G711" s="128"/>
      <c r="H711" s="128"/>
      <c r="I711" s="12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</row>
    <row r="712" ht="10.5" customHeight="1">
      <c r="A712" s="127"/>
      <c r="B712" s="118"/>
      <c r="C712" s="128"/>
      <c r="D712" s="128"/>
      <c r="E712" s="128"/>
      <c r="F712" s="128"/>
      <c r="G712" s="128"/>
      <c r="H712" s="128"/>
      <c r="I712" s="12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</row>
    <row r="713" ht="10.5" customHeight="1">
      <c r="A713" s="127"/>
      <c r="B713" s="118"/>
      <c r="C713" s="128"/>
      <c r="D713" s="128"/>
      <c r="E713" s="128"/>
      <c r="F713" s="128"/>
      <c r="G713" s="128"/>
      <c r="H713" s="128"/>
      <c r="I713" s="12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</row>
    <row r="714" ht="10.5" customHeight="1">
      <c r="A714" s="127"/>
      <c r="B714" s="118"/>
      <c r="C714" s="128"/>
      <c r="D714" s="128"/>
      <c r="E714" s="128"/>
      <c r="F714" s="128"/>
      <c r="G714" s="128"/>
      <c r="H714" s="128"/>
      <c r="I714" s="12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</row>
    <row r="715" ht="10.5" customHeight="1">
      <c r="A715" s="127"/>
      <c r="B715" s="118"/>
      <c r="C715" s="128"/>
      <c r="D715" s="128"/>
      <c r="E715" s="128"/>
      <c r="F715" s="128"/>
      <c r="G715" s="128"/>
      <c r="H715" s="128"/>
      <c r="I715" s="12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</row>
    <row r="716" ht="10.5" customHeight="1">
      <c r="A716" s="127"/>
      <c r="B716" s="118"/>
      <c r="C716" s="128"/>
      <c r="D716" s="128"/>
      <c r="E716" s="128"/>
      <c r="F716" s="128"/>
      <c r="G716" s="128"/>
      <c r="H716" s="128"/>
      <c r="I716" s="12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</row>
    <row r="717" ht="10.5" customHeight="1">
      <c r="A717" s="127"/>
      <c r="B717" s="118"/>
      <c r="C717" s="128"/>
      <c r="D717" s="128"/>
      <c r="E717" s="128"/>
      <c r="F717" s="128"/>
      <c r="G717" s="128"/>
      <c r="H717" s="128"/>
      <c r="I717" s="12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</row>
    <row r="718" ht="10.5" customHeight="1">
      <c r="A718" s="127"/>
      <c r="B718" s="118"/>
      <c r="C718" s="128"/>
      <c r="D718" s="128"/>
      <c r="E718" s="128"/>
      <c r="F718" s="128"/>
      <c r="G718" s="128"/>
      <c r="H718" s="128"/>
      <c r="I718" s="12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</row>
    <row r="719" ht="10.5" customHeight="1">
      <c r="A719" s="127"/>
      <c r="B719" s="118"/>
      <c r="C719" s="128"/>
      <c r="D719" s="128"/>
      <c r="E719" s="128"/>
      <c r="F719" s="128"/>
      <c r="G719" s="128"/>
      <c r="H719" s="128"/>
      <c r="I719" s="12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</row>
    <row r="720" ht="10.5" customHeight="1">
      <c r="A720" s="127"/>
      <c r="B720" s="118"/>
      <c r="C720" s="128"/>
      <c r="D720" s="128"/>
      <c r="E720" s="128"/>
      <c r="F720" s="128"/>
      <c r="G720" s="128"/>
      <c r="H720" s="128"/>
      <c r="I720" s="12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</row>
    <row r="721" ht="10.5" customHeight="1">
      <c r="A721" s="127"/>
      <c r="B721" s="118"/>
      <c r="C721" s="128"/>
      <c r="D721" s="128"/>
      <c r="E721" s="128"/>
      <c r="F721" s="128"/>
      <c r="G721" s="128"/>
      <c r="H721" s="128"/>
      <c r="I721" s="12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</row>
    <row r="722" ht="10.5" customHeight="1">
      <c r="A722" s="127"/>
      <c r="B722" s="118"/>
      <c r="C722" s="128"/>
      <c r="D722" s="128"/>
      <c r="E722" s="128"/>
      <c r="F722" s="128"/>
      <c r="G722" s="128"/>
      <c r="H722" s="128"/>
      <c r="I722" s="12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</row>
    <row r="723" ht="10.5" customHeight="1">
      <c r="A723" s="127"/>
      <c r="B723" s="118"/>
      <c r="C723" s="128"/>
      <c r="D723" s="128"/>
      <c r="E723" s="128"/>
      <c r="F723" s="128"/>
      <c r="G723" s="128"/>
      <c r="H723" s="128"/>
      <c r="I723" s="12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</row>
    <row r="724" ht="10.5" customHeight="1">
      <c r="A724" s="127"/>
      <c r="B724" s="118"/>
      <c r="C724" s="128"/>
      <c r="D724" s="128"/>
      <c r="E724" s="128"/>
      <c r="F724" s="128"/>
      <c r="G724" s="128"/>
      <c r="H724" s="128"/>
      <c r="I724" s="12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</row>
    <row r="725" ht="10.5" customHeight="1">
      <c r="A725" s="127"/>
      <c r="B725" s="118"/>
      <c r="C725" s="128"/>
      <c r="D725" s="128"/>
      <c r="E725" s="128"/>
      <c r="F725" s="128"/>
      <c r="G725" s="128"/>
      <c r="H725" s="128"/>
      <c r="I725" s="12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</row>
    <row r="726" ht="10.5" customHeight="1">
      <c r="A726" s="127"/>
      <c r="B726" s="118"/>
      <c r="C726" s="128"/>
      <c r="D726" s="128"/>
      <c r="E726" s="128"/>
      <c r="F726" s="128"/>
      <c r="G726" s="128"/>
      <c r="H726" s="128"/>
      <c r="I726" s="12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</row>
    <row r="727" ht="10.5" customHeight="1">
      <c r="A727" s="127"/>
      <c r="B727" s="118"/>
      <c r="C727" s="128"/>
      <c r="D727" s="128"/>
      <c r="E727" s="128"/>
      <c r="F727" s="128"/>
      <c r="G727" s="128"/>
      <c r="H727" s="128"/>
      <c r="I727" s="12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</row>
    <row r="728" ht="10.5" customHeight="1">
      <c r="A728" s="127"/>
      <c r="B728" s="118"/>
      <c r="C728" s="128"/>
      <c r="D728" s="128"/>
      <c r="E728" s="128"/>
      <c r="F728" s="128"/>
      <c r="G728" s="128"/>
      <c r="H728" s="128"/>
      <c r="I728" s="12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</row>
    <row r="729" ht="10.5" customHeight="1">
      <c r="A729" s="127"/>
      <c r="B729" s="118"/>
      <c r="C729" s="128"/>
      <c r="D729" s="128"/>
      <c r="E729" s="128"/>
      <c r="F729" s="128"/>
      <c r="G729" s="128"/>
      <c r="H729" s="128"/>
      <c r="I729" s="12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</row>
    <row r="730" ht="10.5" customHeight="1">
      <c r="A730" s="127"/>
      <c r="B730" s="118"/>
      <c r="C730" s="128"/>
      <c r="D730" s="128"/>
      <c r="E730" s="128"/>
      <c r="F730" s="128"/>
      <c r="G730" s="128"/>
      <c r="H730" s="128"/>
      <c r="I730" s="12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</row>
    <row r="731" ht="10.5" customHeight="1">
      <c r="A731" s="127"/>
      <c r="B731" s="118"/>
      <c r="C731" s="128"/>
      <c r="D731" s="128"/>
      <c r="E731" s="128"/>
      <c r="F731" s="128"/>
      <c r="G731" s="128"/>
      <c r="H731" s="128"/>
      <c r="I731" s="12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</row>
    <row r="732" ht="10.5" customHeight="1">
      <c r="A732" s="127"/>
      <c r="B732" s="118"/>
      <c r="C732" s="128"/>
      <c r="D732" s="128"/>
      <c r="E732" s="128"/>
      <c r="F732" s="128"/>
      <c r="G732" s="128"/>
      <c r="H732" s="128"/>
      <c r="I732" s="12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</row>
    <row r="733" ht="10.5" customHeight="1">
      <c r="A733" s="127"/>
      <c r="B733" s="118"/>
      <c r="C733" s="128"/>
      <c r="D733" s="128"/>
      <c r="E733" s="128"/>
      <c r="F733" s="128"/>
      <c r="G733" s="128"/>
      <c r="H733" s="128"/>
      <c r="I733" s="12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</row>
    <row r="734" ht="10.5" customHeight="1">
      <c r="A734" s="127"/>
      <c r="B734" s="118"/>
      <c r="C734" s="128"/>
      <c r="D734" s="128"/>
      <c r="E734" s="128"/>
      <c r="F734" s="128"/>
      <c r="G734" s="128"/>
      <c r="H734" s="128"/>
      <c r="I734" s="12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</row>
    <row r="735" ht="10.5" customHeight="1">
      <c r="A735" s="127"/>
      <c r="B735" s="118"/>
      <c r="C735" s="128"/>
      <c r="D735" s="128"/>
      <c r="E735" s="128"/>
      <c r="F735" s="128"/>
      <c r="G735" s="128"/>
      <c r="H735" s="128"/>
      <c r="I735" s="12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</row>
    <row r="736" ht="10.5" customHeight="1">
      <c r="A736" s="127"/>
      <c r="B736" s="118"/>
      <c r="C736" s="128"/>
      <c r="D736" s="128"/>
      <c r="E736" s="128"/>
      <c r="F736" s="128"/>
      <c r="G736" s="128"/>
      <c r="H736" s="128"/>
      <c r="I736" s="12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</row>
    <row r="737" ht="10.5" customHeight="1">
      <c r="A737" s="127"/>
      <c r="B737" s="118"/>
      <c r="C737" s="128"/>
      <c r="D737" s="128"/>
      <c r="E737" s="128"/>
      <c r="F737" s="128"/>
      <c r="G737" s="128"/>
      <c r="H737" s="128"/>
      <c r="I737" s="12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</row>
    <row r="738" ht="10.5" customHeight="1">
      <c r="A738" s="127"/>
      <c r="B738" s="118"/>
      <c r="C738" s="128"/>
      <c r="D738" s="128"/>
      <c r="E738" s="128"/>
      <c r="F738" s="128"/>
      <c r="G738" s="128"/>
      <c r="H738" s="128"/>
      <c r="I738" s="12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</row>
    <row r="739" ht="10.5" customHeight="1">
      <c r="A739" s="127"/>
      <c r="B739" s="118"/>
      <c r="C739" s="128"/>
      <c r="D739" s="128"/>
      <c r="E739" s="128"/>
      <c r="F739" s="128"/>
      <c r="G739" s="128"/>
      <c r="H739" s="128"/>
      <c r="I739" s="12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</row>
    <row r="740" ht="10.5" customHeight="1">
      <c r="A740" s="127"/>
      <c r="B740" s="118"/>
      <c r="C740" s="128"/>
      <c r="D740" s="128"/>
      <c r="E740" s="128"/>
      <c r="F740" s="128"/>
      <c r="G740" s="128"/>
      <c r="H740" s="128"/>
      <c r="I740" s="12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</row>
    <row r="741" ht="10.5" customHeight="1">
      <c r="A741" s="127"/>
      <c r="B741" s="118"/>
      <c r="C741" s="128"/>
      <c r="D741" s="128"/>
      <c r="E741" s="128"/>
      <c r="F741" s="128"/>
      <c r="G741" s="128"/>
      <c r="H741" s="128"/>
      <c r="I741" s="12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</row>
    <row r="742" ht="10.5" customHeight="1">
      <c r="A742" s="127"/>
      <c r="B742" s="118"/>
      <c r="C742" s="128"/>
      <c r="D742" s="128"/>
      <c r="E742" s="128"/>
      <c r="F742" s="128"/>
      <c r="G742" s="128"/>
      <c r="H742" s="128"/>
      <c r="I742" s="12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</row>
    <row r="743" ht="10.5" customHeight="1">
      <c r="A743" s="127"/>
      <c r="B743" s="118"/>
      <c r="C743" s="128"/>
      <c r="D743" s="128"/>
      <c r="E743" s="128"/>
      <c r="F743" s="128"/>
      <c r="G743" s="128"/>
      <c r="H743" s="128"/>
      <c r="I743" s="12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</row>
    <row r="744" ht="10.5" customHeight="1">
      <c r="A744" s="127"/>
      <c r="B744" s="118"/>
      <c r="C744" s="128"/>
      <c r="D744" s="128"/>
      <c r="E744" s="128"/>
      <c r="F744" s="128"/>
      <c r="G744" s="128"/>
      <c r="H744" s="128"/>
      <c r="I744" s="12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</row>
    <row r="745" ht="10.5" customHeight="1">
      <c r="A745" s="127"/>
      <c r="B745" s="118"/>
      <c r="C745" s="128"/>
      <c r="D745" s="128"/>
      <c r="E745" s="128"/>
      <c r="F745" s="128"/>
      <c r="G745" s="128"/>
      <c r="H745" s="128"/>
      <c r="I745" s="12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</row>
    <row r="746" ht="10.5" customHeight="1">
      <c r="A746" s="127"/>
      <c r="B746" s="118"/>
      <c r="C746" s="128"/>
      <c r="D746" s="128"/>
      <c r="E746" s="128"/>
      <c r="F746" s="128"/>
      <c r="G746" s="128"/>
      <c r="H746" s="128"/>
      <c r="I746" s="12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</row>
    <row r="747" ht="10.5" customHeight="1">
      <c r="A747" s="127"/>
      <c r="B747" s="118"/>
      <c r="C747" s="128"/>
      <c r="D747" s="128"/>
      <c r="E747" s="128"/>
      <c r="F747" s="128"/>
      <c r="G747" s="128"/>
      <c r="H747" s="128"/>
      <c r="I747" s="12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</row>
    <row r="748" ht="10.5" customHeight="1">
      <c r="A748" s="127"/>
      <c r="B748" s="118"/>
      <c r="C748" s="128"/>
      <c r="D748" s="128"/>
      <c r="E748" s="128"/>
      <c r="F748" s="128"/>
      <c r="G748" s="128"/>
      <c r="H748" s="128"/>
      <c r="I748" s="12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</row>
    <row r="749" ht="10.5" customHeight="1">
      <c r="A749" s="127"/>
      <c r="B749" s="118"/>
      <c r="C749" s="128"/>
      <c r="D749" s="128"/>
      <c r="E749" s="128"/>
      <c r="F749" s="128"/>
      <c r="G749" s="128"/>
      <c r="H749" s="128"/>
      <c r="I749" s="12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</row>
    <row r="750" ht="10.5" customHeight="1">
      <c r="A750" s="127"/>
      <c r="B750" s="118"/>
      <c r="C750" s="128"/>
      <c r="D750" s="128"/>
      <c r="E750" s="128"/>
      <c r="F750" s="128"/>
      <c r="G750" s="128"/>
      <c r="H750" s="128"/>
      <c r="I750" s="12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</row>
    <row r="751" ht="10.5" customHeight="1">
      <c r="A751" s="127"/>
      <c r="B751" s="118"/>
      <c r="C751" s="128"/>
      <c r="D751" s="128"/>
      <c r="E751" s="128"/>
      <c r="F751" s="128"/>
      <c r="G751" s="128"/>
      <c r="H751" s="128"/>
      <c r="I751" s="12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</row>
    <row r="752" ht="10.5" customHeight="1">
      <c r="A752" s="127"/>
      <c r="B752" s="118"/>
      <c r="C752" s="128"/>
      <c r="D752" s="128"/>
      <c r="E752" s="128"/>
      <c r="F752" s="128"/>
      <c r="G752" s="128"/>
      <c r="H752" s="128"/>
      <c r="I752" s="12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</row>
    <row r="753" ht="10.5" customHeight="1">
      <c r="A753" s="127"/>
      <c r="B753" s="118"/>
      <c r="C753" s="128"/>
      <c r="D753" s="128"/>
      <c r="E753" s="128"/>
      <c r="F753" s="128"/>
      <c r="G753" s="128"/>
      <c r="H753" s="128"/>
      <c r="I753" s="12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</row>
    <row r="754" ht="10.5" customHeight="1">
      <c r="A754" s="127"/>
      <c r="B754" s="118"/>
      <c r="C754" s="128"/>
      <c r="D754" s="128"/>
      <c r="E754" s="128"/>
      <c r="F754" s="128"/>
      <c r="G754" s="128"/>
      <c r="H754" s="128"/>
      <c r="I754" s="12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</row>
    <row r="755" ht="10.5" customHeight="1">
      <c r="A755" s="127"/>
      <c r="B755" s="118"/>
      <c r="C755" s="128"/>
      <c r="D755" s="128"/>
      <c r="E755" s="128"/>
      <c r="F755" s="128"/>
      <c r="G755" s="128"/>
      <c r="H755" s="128"/>
      <c r="I755" s="12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</row>
    <row r="756" ht="10.5" customHeight="1">
      <c r="A756" s="127"/>
      <c r="B756" s="118"/>
      <c r="C756" s="128"/>
      <c r="D756" s="128"/>
      <c r="E756" s="128"/>
      <c r="F756" s="128"/>
      <c r="G756" s="128"/>
      <c r="H756" s="128"/>
      <c r="I756" s="12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</row>
    <row r="757" ht="10.5" customHeight="1">
      <c r="A757" s="127"/>
      <c r="B757" s="118"/>
      <c r="C757" s="128"/>
      <c r="D757" s="128"/>
      <c r="E757" s="128"/>
      <c r="F757" s="128"/>
      <c r="G757" s="128"/>
      <c r="H757" s="128"/>
      <c r="I757" s="12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</row>
    <row r="758" ht="10.5" customHeight="1">
      <c r="A758" s="127"/>
      <c r="B758" s="118"/>
      <c r="C758" s="128"/>
      <c r="D758" s="128"/>
      <c r="E758" s="128"/>
      <c r="F758" s="128"/>
      <c r="G758" s="128"/>
      <c r="H758" s="128"/>
      <c r="I758" s="12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</row>
    <row r="759" ht="10.5" customHeight="1">
      <c r="A759" s="127"/>
      <c r="B759" s="118"/>
      <c r="C759" s="128"/>
      <c r="D759" s="128"/>
      <c r="E759" s="128"/>
      <c r="F759" s="128"/>
      <c r="G759" s="128"/>
      <c r="H759" s="128"/>
      <c r="I759" s="12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</row>
    <row r="760" ht="10.5" customHeight="1">
      <c r="A760" s="127"/>
      <c r="B760" s="118"/>
      <c r="C760" s="128"/>
      <c r="D760" s="128"/>
      <c r="E760" s="128"/>
      <c r="F760" s="128"/>
      <c r="G760" s="128"/>
      <c r="H760" s="128"/>
      <c r="I760" s="12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</row>
    <row r="761" ht="10.5" customHeight="1">
      <c r="A761" s="127"/>
      <c r="B761" s="118"/>
      <c r="C761" s="128"/>
      <c r="D761" s="128"/>
      <c r="E761" s="128"/>
      <c r="F761" s="128"/>
      <c r="G761" s="128"/>
      <c r="H761" s="128"/>
      <c r="I761" s="12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</row>
    <row r="762" ht="10.5" customHeight="1">
      <c r="A762" s="127"/>
      <c r="B762" s="118"/>
      <c r="C762" s="128"/>
      <c r="D762" s="128"/>
      <c r="E762" s="128"/>
      <c r="F762" s="128"/>
      <c r="G762" s="128"/>
      <c r="H762" s="128"/>
      <c r="I762" s="12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</row>
    <row r="763" ht="10.5" customHeight="1">
      <c r="A763" s="127"/>
      <c r="B763" s="118"/>
      <c r="C763" s="128"/>
      <c r="D763" s="128"/>
      <c r="E763" s="128"/>
      <c r="F763" s="128"/>
      <c r="G763" s="128"/>
      <c r="H763" s="128"/>
      <c r="I763" s="12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</row>
    <row r="764" ht="10.5" customHeight="1">
      <c r="A764" s="127"/>
      <c r="B764" s="118"/>
      <c r="C764" s="128"/>
      <c r="D764" s="128"/>
      <c r="E764" s="128"/>
      <c r="F764" s="128"/>
      <c r="G764" s="128"/>
      <c r="H764" s="128"/>
      <c r="I764" s="12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</row>
    <row r="765" ht="10.5" customHeight="1">
      <c r="A765" s="127"/>
      <c r="B765" s="118"/>
      <c r="C765" s="128"/>
      <c r="D765" s="128"/>
      <c r="E765" s="128"/>
      <c r="F765" s="128"/>
      <c r="G765" s="128"/>
      <c r="H765" s="128"/>
      <c r="I765" s="12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</row>
    <row r="766" ht="10.5" customHeight="1">
      <c r="A766" s="127"/>
      <c r="B766" s="118"/>
      <c r="C766" s="128"/>
      <c r="D766" s="128"/>
      <c r="E766" s="128"/>
      <c r="F766" s="128"/>
      <c r="G766" s="128"/>
      <c r="H766" s="128"/>
      <c r="I766" s="12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</row>
    <row r="767" ht="10.5" customHeight="1">
      <c r="A767" s="127"/>
      <c r="B767" s="118"/>
      <c r="C767" s="128"/>
      <c r="D767" s="128"/>
      <c r="E767" s="128"/>
      <c r="F767" s="128"/>
      <c r="G767" s="128"/>
      <c r="H767" s="128"/>
      <c r="I767" s="12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</row>
    <row r="768" ht="10.5" customHeight="1">
      <c r="A768" s="127"/>
      <c r="B768" s="118"/>
      <c r="C768" s="128"/>
      <c r="D768" s="128"/>
      <c r="E768" s="128"/>
      <c r="F768" s="128"/>
      <c r="G768" s="128"/>
      <c r="H768" s="128"/>
      <c r="I768" s="12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</row>
    <row r="769" ht="10.5" customHeight="1">
      <c r="A769" s="127"/>
      <c r="B769" s="118"/>
      <c r="C769" s="128"/>
      <c r="D769" s="128"/>
      <c r="E769" s="128"/>
      <c r="F769" s="128"/>
      <c r="G769" s="128"/>
      <c r="H769" s="128"/>
      <c r="I769" s="12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</row>
    <row r="770" ht="10.5" customHeight="1">
      <c r="A770" s="127"/>
      <c r="B770" s="118"/>
      <c r="C770" s="128"/>
      <c r="D770" s="128"/>
      <c r="E770" s="128"/>
      <c r="F770" s="128"/>
      <c r="G770" s="128"/>
      <c r="H770" s="128"/>
      <c r="I770" s="12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</row>
    <row r="771" ht="10.5" customHeight="1">
      <c r="A771" s="127"/>
      <c r="B771" s="118"/>
      <c r="C771" s="128"/>
      <c r="D771" s="128"/>
      <c r="E771" s="128"/>
      <c r="F771" s="128"/>
      <c r="G771" s="128"/>
      <c r="H771" s="128"/>
      <c r="I771" s="12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</row>
    <row r="772" ht="10.5" customHeight="1">
      <c r="A772" s="127"/>
      <c r="B772" s="118"/>
      <c r="C772" s="128"/>
      <c r="D772" s="128"/>
      <c r="E772" s="128"/>
      <c r="F772" s="128"/>
      <c r="G772" s="128"/>
      <c r="H772" s="128"/>
      <c r="I772" s="12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</row>
    <row r="773" ht="10.5" customHeight="1">
      <c r="A773" s="127"/>
      <c r="B773" s="118"/>
      <c r="C773" s="128"/>
      <c r="D773" s="128"/>
      <c r="E773" s="128"/>
      <c r="F773" s="128"/>
      <c r="G773" s="128"/>
      <c r="H773" s="128"/>
      <c r="I773" s="12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</row>
    <row r="774" ht="10.5" customHeight="1">
      <c r="A774" s="127"/>
      <c r="B774" s="118"/>
      <c r="C774" s="128"/>
      <c r="D774" s="128"/>
      <c r="E774" s="128"/>
      <c r="F774" s="128"/>
      <c r="G774" s="128"/>
      <c r="H774" s="128"/>
      <c r="I774" s="12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</row>
    <row r="775" ht="10.5" customHeight="1">
      <c r="A775" s="127"/>
      <c r="B775" s="118"/>
      <c r="C775" s="128"/>
      <c r="D775" s="128"/>
      <c r="E775" s="128"/>
      <c r="F775" s="128"/>
      <c r="G775" s="128"/>
      <c r="H775" s="128"/>
      <c r="I775" s="12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</row>
    <row r="776" ht="10.5" customHeight="1">
      <c r="A776" s="127"/>
      <c r="B776" s="118"/>
      <c r="C776" s="128"/>
      <c r="D776" s="128"/>
      <c r="E776" s="128"/>
      <c r="F776" s="128"/>
      <c r="G776" s="128"/>
      <c r="H776" s="128"/>
      <c r="I776" s="12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</row>
    <row r="777" ht="10.5" customHeight="1">
      <c r="A777" s="127"/>
      <c r="B777" s="118"/>
      <c r="C777" s="128"/>
      <c r="D777" s="128"/>
      <c r="E777" s="128"/>
      <c r="F777" s="128"/>
      <c r="G777" s="128"/>
      <c r="H777" s="128"/>
      <c r="I777" s="12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</row>
    <row r="778" ht="10.5" customHeight="1">
      <c r="A778" s="127"/>
      <c r="B778" s="118"/>
      <c r="C778" s="128"/>
      <c r="D778" s="128"/>
      <c r="E778" s="128"/>
      <c r="F778" s="128"/>
      <c r="G778" s="128"/>
      <c r="H778" s="128"/>
      <c r="I778" s="12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</row>
    <row r="779" ht="10.5" customHeight="1">
      <c r="A779" s="127"/>
      <c r="B779" s="118"/>
      <c r="C779" s="128"/>
      <c r="D779" s="128"/>
      <c r="E779" s="128"/>
      <c r="F779" s="128"/>
      <c r="G779" s="128"/>
      <c r="H779" s="128"/>
      <c r="I779" s="12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</row>
    <row r="780" ht="10.5" customHeight="1">
      <c r="A780" s="127"/>
      <c r="B780" s="118"/>
      <c r="C780" s="128"/>
      <c r="D780" s="128"/>
      <c r="E780" s="128"/>
      <c r="F780" s="128"/>
      <c r="G780" s="128"/>
      <c r="H780" s="128"/>
      <c r="I780" s="12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</row>
    <row r="781" ht="10.5" customHeight="1">
      <c r="A781" s="127"/>
      <c r="B781" s="118"/>
      <c r="C781" s="128"/>
      <c r="D781" s="128"/>
      <c r="E781" s="128"/>
      <c r="F781" s="128"/>
      <c r="G781" s="128"/>
      <c r="H781" s="128"/>
      <c r="I781" s="12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</row>
    <row r="782" ht="10.5" customHeight="1">
      <c r="A782" s="127"/>
      <c r="B782" s="118"/>
      <c r="C782" s="128"/>
      <c r="D782" s="128"/>
      <c r="E782" s="128"/>
      <c r="F782" s="128"/>
      <c r="G782" s="128"/>
      <c r="H782" s="128"/>
      <c r="I782" s="12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</row>
    <row r="783" ht="10.5" customHeight="1">
      <c r="A783" s="127"/>
      <c r="B783" s="118"/>
      <c r="C783" s="128"/>
      <c r="D783" s="128"/>
      <c r="E783" s="128"/>
      <c r="F783" s="128"/>
      <c r="G783" s="128"/>
      <c r="H783" s="128"/>
      <c r="I783" s="12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</row>
    <row r="784" ht="10.5" customHeight="1">
      <c r="A784" s="127"/>
      <c r="B784" s="118"/>
      <c r="C784" s="128"/>
      <c r="D784" s="128"/>
      <c r="E784" s="128"/>
      <c r="F784" s="128"/>
      <c r="G784" s="128"/>
      <c r="H784" s="128"/>
      <c r="I784" s="12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</row>
    <row r="785" ht="10.5" customHeight="1">
      <c r="A785" s="127"/>
      <c r="B785" s="118"/>
      <c r="C785" s="128"/>
      <c r="D785" s="128"/>
      <c r="E785" s="128"/>
      <c r="F785" s="128"/>
      <c r="G785" s="128"/>
      <c r="H785" s="128"/>
      <c r="I785" s="12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</row>
    <row r="786" ht="10.5" customHeight="1">
      <c r="A786" s="127"/>
      <c r="B786" s="118"/>
      <c r="C786" s="128"/>
      <c r="D786" s="128"/>
      <c r="E786" s="128"/>
      <c r="F786" s="128"/>
      <c r="G786" s="128"/>
      <c r="H786" s="128"/>
      <c r="I786" s="12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</row>
    <row r="787" ht="10.5" customHeight="1">
      <c r="A787" s="127"/>
      <c r="B787" s="118"/>
      <c r="C787" s="128"/>
      <c r="D787" s="128"/>
      <c r="E787" s="128"/>
      <c r="F787" s="128"/>
      <c r="G787" s="128"/>
      <c r="H787" s="128"/>
      <c r="I787" s="12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</row>
    <row r="788" ht="10.5" customHeight="1">
      <c r="A788" s="127"/>
      <c r="B788" s="118"/>
      <c r="C788" s="128"/>
      <c r="D788" s="128"/>
      <c r="E788" s="128"/>
      <c r="F788" s="128"/>
      <c r="G788" s="128"/>
      <c r="H788" s="128"/>
      <c r="I788" s="12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</row>
    <row r="789" ht="10.5" customHeight="1">
      <c r="A789" s="127"/>
      <c r="B789" s="118"/>
      <c r="C789" s="128"/>
      <c r="D789" s="128"/>
      <c r="E789" s="128"/>
      <c r="F789" s="128"/>
      <c r="G789" s="128"/>
      <c r="H789" s="128"/>
      <c r="I789" s="12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</row>
    <row r="790" ht="10.5" customHeight="1">
      <c r="A790" s="127"/>
      <c r="B790" s="118"/>
      <c r="C790" s="128"/>
      <c r="D790" s="128"/>
      <c r="E790" s="128"/>
      <c r="F790" s="128"/>
      <c r="G790" s="128"/>
      <c r="H790" s="128"/>
      <c r="I790" s="12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</row>
    <row r="791" ht="10.5" customHeight="1">
      <c r="A791" s="127"/>
      <c r="B791" s="118"/>
      <c r="C791" s="128"/>
      <c r="D791" s="128"/>
      <c r="E791" s="128"/>
      <c r="F791" s="128"/>
      <c r="G791" s="128"/>
      <c r="H791" s="128"/>
      <c r="I791" s="12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</row>
    <row r="792" ht="10.5" customHeight="1">
      <c r="A792" s="127"/>
      <c r="B792" s="118"/>
      <c r="C792" s="128"/>
      <c r="D792" s="128"/>
      <c r="E792" s="128"/>
      <c r="F792" s="128"/>
      <c r="G792" s="128"/>
      <c r="H792" s="128"/>
      <c r="I792" s="12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</row>
    <row r="793" ht="10.5" customHeight="1">
      <c r="A793" s="127"/>
      <c r="B793" s="118"/>
      <c r="C793" s="128"/>
      <c r="D793" s="128"/>
      <c r="E793" s="128"/>
      <c r="F793" s="128"/>
      <c r="G793" s="128"/>
      <c r="H793" s="128"/>
      <c r="I793" s="12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</row>
    <row r="794" ht="10.5" customHeight="1">
      <c r="A794" s="127"/>
      <c r="B794" s="118"/>
      <c r="C794" s="128"/>
      <c r="D794" s="128"/>
      <c r="E794" s="128"/>
      <c r="F794" s="128"/>
      <c r="G794" s="128"/>
      <c r="H794" s="128"/>
      <c r="I794" s="12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</row>
    <row r="795" ht="10.5" customHeight="1">
      <c r="A795" s="127"/>
      <c r="B795" s="118"/>
      <c r="C795" s="128"/>
      <c r="D795" s="128"/>
      <c r="E795" s="128"/>
      <c r="F795" s="128"/>
      <c r="G795" s="128"/>
      <c r="H795" s="128"/>
      <c r="I795" s="12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</row>
    <row r="796" ht="10.5" customHeight="1">
      <c r="A796" s="127"/>
      <c r="B796" s="118"/>
      <c r="C796" s="128"/>
      <c r="D796" s="128"/>
      <c r="E796" s="128"/>
      <c r="F796" s="128"/>
      <c r="G796" s="128"/>
      <c r="H796" s="128"/>
      <c r="I796" s="12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</row>
    <row r="797" ht="10.5" customHeight="1">
      <c r="A797" s="127"/>
      <c r="B797" s="118"/>
      <c r="C797" s="128"/>
      <c r="D797" s="128"/>
      <c r="E797" s="128"/>
      <c r="F797" s="128"/>
      <c r="G797" s="128"/>
      <c r="H797" s="128"/>
      <c r="I797" s="12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</row>
    <row r="798" ht="10.5" customHeight="1">
      <c r="A798" s="127"/>
      <c r="B798" s="118"/>
      <c r="C798" s="128"/>
      <c r="D798" s="128"/>
      <c r="E798" s="128"/>
      <c r="F798" s="128"/>
      <c r="G798" s="128"/>
      <c r="H798" s="128"/>
      <c r="I798" s="12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</row>
    <row r="799" ht="10.5" customHeight="1">
      <c r="A799" s="127"/>
      <c r="B799" s="118"/>
      <c r="C799" s="128"/>
      <c r="D799" s="128"/>
      <c r="E799" s="128"/>
      <c r="F799" s="128"/>
      <c r="G799" s="128"/>
      <c r="H799" s="128"/>
      <c r="I799" s="12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</row>
    <row r="800" ht="10.5" customHeight="1">
      <c r="A800" s="127"/>
      <c r="B800" s="118"/>
      <c r="C800" s="128"/>
      <c r="D800" s="128"/>
      <c r="E800" s="128"/>
      <c r="F800" s="128"/>
      <c r="G800" s="128"/>
      <c r="H800" s="128"/>
      <c r="I800" s="12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</row>
    <row r="801" ht="10.5" customHeight="1">
      <c r="A801" s="127"/>
      <c r="B801" s="118"/>
      <c r="C801" s="128"/>
      <c r="D801" s="128"/>
      <c r="E801" s="128"/>
      <c r="F801" s="128"/>
      <c r="G801" s="128"/>
      <c r="H801" s="128"/>
      <c r="I801" s="12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</row>
    <row r="802" ht="10.5" customHeight="1">
      <c r="A802" s="127"/>
      <c r="B802" s="118"/>
      <c r="C802" s="128"/>
      <c r="D802" s="128"/>
      <c r="E802" s="128"/>
      <c r="F802" s="128"/>
      <c r="G802" s="128"/>
      <c r="H802" s="128"/>
      <c r="I802" s="12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</row>
    <row r="803" ht="10.5" customHeight="1">
      <c r="A803" s="127"/>
      <c r="B803" s="118"/>
      <c r="C803" s="128"/>
      <c r="D803" s="128"/>
      <c r="E803" s="128"/>
      <c r="F803" s="128"/>
      <c r="G803" s="128"/>
      <c r="H803" s="128"/>
      <c r="I803" s="12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</row>
    <row r="804" ht="10.5" customHeight="1">
      <c r="A804" s="127"/>
      <c r="B804" s="118"/>
      <c r="C804" s="128"/>
      <c r="D804" s="128"/>
      <c r="E804" s="128"/>
      <c r="F804" s="128"/>
      <c r="G804" s="128"/>
      <c r="H804" s="128"/>
      <c r="I804" s="12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</row>
    <row r="805" ht="10.5" customHeight="1">
      <c r="A805" s="127"/>
      <c r="B805" s="118"/>
      <c r="C805" s="128"/>
      <c r="D805" s="128"/>
      <c r="E805" s="128"/>
      <c r="F805" s="128"/>
      <c r="G805" s="128"/>
      <c r="H805" s="128"/>
      <c r="I805" s="12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</row>
    <row r="806" ht="10.5" customHeight="1">
      <c r="A806" s="127"/>
      <c r="B806" s="118"/>
      <c r="C806" s="128"/>
      <c r="D806" s="128"/>
      <c r="E806" s="128"/>
      <c r="F806" s="128"/>
      <c r="G806" s="128"/>
      <c r="H806" s="128"/>
      <c r="I806" s="12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</row>
    <row r="807" ht="10.5" customHeight="1">
      <c r="A807" s="127"/>
      <c r="B807" s="118"/>
      <c r="C807" s="128"/>
      <c r="D807" s="128"/>
      <c r="E807" s="128"/>
      <c r="F807" s="128"/>
      <c r="G807" s="128"/>
      <c r="H807" s="128"/>
      <c r="I807" s="12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</row>
    <row r="808" ht="10.5" customHeight="1">
      <c r="A808" s="127"/>
      <c r="B808" s="118"/>
      <c r="C808" s="128"/>
      <c r="D808" s="128"/>
      <c r="E808" s="128"/>
      <c r="F808" s="128"/>
      <c r="G808" s="128"/>
      <c r="H808" s="128"/>
      <c r="I808" s="12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</row>
    <row r="809" ht="10.5" customHeight="1">
      <c r="A809" s="127"/>
      <c r="B809" s="118"/>
      <c r="C809" s="128"/>
      <c r="D809" s="128"/>
      <c r="E809" s="128"/>
      <c r="F809" s="128"/>
      <c r="G809" s="128"/>
      <c r="H809" s="128"/>
      <c r="I809" s="12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</row>
    <row r="810" ht="10.5" customHeight="1">
      <c r="A810" s="127"/>
      <c r="B810" s="118"/>
      <c r="C810" s="128"/>
      <c r="D810" s="128"/>
      <c r="E810" s="128"/>
      <c r="F810" s="128"/>
      <c r="G810" s="128"/>
      <c r="H810" s="128"/>
      <c r="I810" s="12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</row>
    <row r="811" ht="10.5" customHeight="1">
      <c r="A811" s="127"/>
      <c r="B811" s="118"/>
      <c r="C811" s="128"/>
      <c r="D811" s="128"/>
      <c r="E811" s="128"/>
      <c r="F811" s="128"/>
      <c r="G811" s="128"/>
      <c r="H811" s="128"/>
      <c r="I811" s="12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</row>
    <row r="812" ht="10.5" customHeight="1">
      <c r="A812" s="127"/>
      <c r="B812" s="118"/>
      <c r="C812" s="128"/>
      <c r="D812" s="128"/>
      <c r="E812" s="128"/>
      <c r="F812" s="128"/>
      <c r="G812" s="128"/>
      <c r="H812" s="128"/>
      <c r="I812" s="12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</row>
    <row r="813" ht="10.5" customHeight="1">
      <c r="A813" s="127"/>
      <c r="B813" s="118"/>
      <c r="C813" s="128"/>
      <c r="D813" s="128"/>
      <c r="E813" s="128"/>
      <c r="F813" s="128"/>
      <c r="G813" s="128"/>
      <c r="H813" s="128"/>
      <c r="I813" s="12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</row>
    <row r="814" ht="10.5" customHeight="1">
      <c r="A814" s="127"/>
      <c r="B814" s="118"/>
      <c r="C814" s="128"/>
      <c r="D814" s="128"/>
      <c r="E814" s="128"/>
      <c r="F814" s="128"/>
      <c r="G814" s="128"/>
      <c r="H814" s="128"/>
      <c r="I814" s="12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</row>
    <row r="815" ht="10.5" customHeight="1">
      <c r="A815" s="127"/>
      <c r="B815" s="118"/>
      <c r="C815" s="128"/>
      <c r="D815" s="128"/>
      <c r="E815" s="128"/>
      <c r="F815" s="128"/>
      <c r="G815" s="128"/>
      <c r="H815" s="128"/>
      <c r="I815" s="12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</row>
    <row r="816" ht="10.5" customHeight="1">
      <c r="A816" s="127"/>
      <c r="B816" s="118"/>
      <c r="C816" s="128"/>
      <c r="D816" s="128"/>
      <c r="E816" s="128"/>
      <c r="F816" s="128"/>
      <c r="G816" s="128"/>
      <c r="H816" s="128"/>
      <c r="I816" s="12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</row>
    <row r="817" ht="10.5" customHeight="1">
      <c r="A817" s="127"/>
      <c r="B817" s="118"/>
      <c r="C817" s="128"/>
      <c r="D817" s="128"/>
      <c r="E817" s="128"/>
      <c r="F817" s="128"/>
      <c r="G817" s="128"/>
      <c r="H817" s="128"/>
      <c r="I817" s="12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</row>
    <row r="818" ht="10.5" customHeight="1">
      <c r="A818" s="127"/>
      <c r="B818" s="118"/>
      <c r="C818" s="128"/>
      <c r="D818" s="128"/>
      <c r="E818" s="128"/>
      <c r="F818" s="128"/>
      <c r="G818" s="128"/>
      <c r="H818" s="128"/>
      <c r="I818" s="12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</row>
    <row r="819" ht="10.5" customHeight="1">
      <c r="A819" s="127"/>
      <c r="B819" s="118"/>
      <c r="C819" s="128"/>
      <c r="D819" s="128"/>
      <c r="E819" s="128"/>
      <c r="F819" s="128"/>
      <c r="G819" s="128"/>
      <c r="H819" s="128"/>
      <c r="I819" s="12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</row>
    <row r="820" ht="10.5" customHeight="1">
      <c r="A820" s="127"/>
      <c r="B820" s="118"/>
      <c r="C820" s="128"/>
      <c r="D820" s="128"/>
      <c r="E820" s="128"/>
      <c r="F820" s="128"/>
      <c r="G820" s="128"/>
      <c r="H820" s="128"/>
      <c r="I820" s="12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</row>
    <row r="821" ht="10.5" customHeight="1">
      <c r="A821" s="127"/>
      <c r="B821" s="118"/>
      <c r="C821" s="128"/>
      <c r="D821" s="128"/>
      <c r="E821" s="128"/>
      <c r="F821" s="128"/>
      <c r="G821" s="128"/>
      <c r="H821" s="128"/>
      <c r="I821" s="12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</row>
    <row r="822" ht="10.5" customHeight="1">
      <c r="A822" s="127"/>
      <c r="B822" s="118"/>
      <c r="C822" s="128"/>
      <c r="D822" s="128"/>
      <c r="E822" s="128"/>
      <c r="F822" s="128"/>
      <c r="G822" s="128"/>
      <c r="H822" s="128"/>
      <c r="I822" s="12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</row>
    <row r="823" ht="10.5" customHeight="1">
      <c r="A823" s="127"/>
      <c r="B823" s="118"/>
      <c r="C823" s="128"/>
      <c r="D823" s="128"/>
      <c r="E823" s="128"/>
      <c r="F823" s="128"/>
      <c r="G823" s="128"/>
      <c r="H823" s="128"/>
      <c r="I823" s="12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</row>
    <row r="824" ht="10.5" customHeight="1">
      <c r="A824" s="127"/>
      <c r="B824" s="118"/>
      <c r="C824" s="128"/>
      <c r="D824" s="128"/>
      <c r="E824" s="128"/>
      <c r="F824" s="128"/>
      <c r="G824" s="128"/>
      <c r="H824" s="128"/>
      <c r="I824" s="12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</row>
    <row r="825" ht="10.5" customHeight="1">
      <c r="A825" s="127"/>
      <c r="B825" s="118"/>
      <c r="C825" s="128"/>
      <c r="D825" s="128"/>
      <c r="E825" s="128"/>
      <c r="F825" s="128"/>
      <c r="G825" s="128"/>
      <c r="H825" s="128"/>
      <c r="I825" s="12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</row>
    <row r="826" ht="10.5" customHeight="1">
      <c r="A826" s="127"/>
      <c r="B826" s="118"/>
      <c r="C826" s="128"/>
      <c r="D826" s="128"/>
      <c r="E826" s="128"/>
      <c r="F826" s="128"/>
      <c r="G826" s="128"/>
      <c r="H826" s="128"/>
      <c r="I826" s="12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</row>
    <row r="827" ht="10.5" customHeight="1">
      <c r="A827" s="127"/>
      <c r="B827" s="118"/>
      <c r="C827" s="128"/>
      <c r="D827" s="128"/>
      <c r="E827" s="128"/>
      <c r="F827" s="128"/>
      <c r="G827" s="128"/>
      <c r="H827" s="128"/>
      <c r="I827" s="12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</row>
    <row r="828" ht="10.5" customHeight="1">
      <c r="A828" s="127"/>
      <c r="B828" s="118"/>
      <c r="C828" s="128"/>
      <c r="D828" s="128"/>
      <c r="E828" s="128"/>
      <c r="F828" s="128"/>
      <c r="G828" s="128"/>
      <c r="H828" s="128"/>
      <c r="I828" s="12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</row>
    <row r="829" ht="10.5" customHeight="1">
      <c r="A829" s="127"/>
      <c r="B829" s="118"/>
      <c r="C829" s="128"/>
      <c r="D829" s="128"/>
      <c r="E829" s="128"/>
      <c r="F829" s="128"/>
      <c r="G829" s="128"/>
      <c r="H829" s="128"/>
      <c r="I829" s="12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</row>
    <row r="830" ht="10.5" customHeight="1">
      <c r="A830" s="127"/>
      <c r="B830" s="118"/>
      <c r="C830" s="128"/>
      <c r="D830" s="128"/>
      <c r="E830" s="128"/>
      <c r="F830" s="128"/>
      <c r="G830" s="128"/>
      <c r="H830" s="128"/>
      <c r="I830" s="12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</row>
    <row r="831" ht="10.5" customHeight="1">
      <c r="A831" s="127"/>
      <c r="B831" s="118"/>
      <c r="C831" s="128"/>
      <c r="D831" s="128"/>
      <c r="E831" s="128"/>
      <c r="F831" s="128"/>
      <c r="G831" s="128"/>
      <c r="H831" s="128"/>
      <c r="I831" s="12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</row>
    <row r="832" ht="10.5" customHeight="1">
      <c r="A832" s="127"/>
      <c r="B832" s="118"/>
      <c r="C832" s="128"/>
      <c r="D832" s="128"/>
      <c r="E832" s="128"/>
      <c r="F832" s="128"/>
      <c r="G832" s="128"/>
      <c r="H832" s="128"/>
      <c r="I832" s="12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</row>
    <row r="833" ht="10.5" customHeight="1">
      <c r="A833" s="127"/>
      <c r="B833" s="118"/>
      <c r="C833" s="128"/>
      <c r="D833" s="128"/>
      <c r="E833" s="128"/>
      <c r="F833" s="128"/>
      <c r="G833" s="128"/>
      <c r="H833" s="128"/>
      <c r="I833" s="12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</row>
    <row r="834" ht="10.5" customHeight="1">
      <c r="A834" s="127"/>
      <c r="B834" s="118"/>
      <c r="C834" s="128"/>
      <c r="D834" s="128"/>
      <c r="E834" s="128"/>
      <c r="F834" s="128"/>
      <c r="G834" s="128"/>
      <c r="H834" s="128"/>
      <c r="I834" s="12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</row>
    <row r="835" ht="10.5" customHeight="1">
      <c r="A835" s="127"/>
      <c r="B835" s="118"/>
      <c r="C835" s="128"/>
      <c r="D835" s="128"/>
      <c r="E835" s="128"/>
      <c r="F835" s="128"/>
      <c r="G835" s="128"/>
      <c r="H835" s="128"/>
      <c r="I835" s="12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</row>
    <row r="836" ht="10.5" customHeight="1">
      <c r="A836" s="127"/>
      <c r="B836" s="118"/>
      <c r="C836" s="128"/>
      <c r="D836" s="128"/>
      <c r="E836" s="128"/>
      <c r="F836" s="128"/>
      <c r="G836" s="128"/>
      <c r="H836" s="128"/>
      <c r="I836" s="12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</row>
    <row r="837" ht="10.5" customHeight="1">
      <c r="A837" s="127"/>
      <c r="B837" s="118"/>
      <c r="C837" s="128"/>
      <c r="D837" s="128"/>
      <c r="E837" s="128"/>
      <c r="F837" s="128"/>
      <c r="G837" s="128"/>
      <c r="H837" s="128"/>
      <c r="I837" s="12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</row>
    <row r="838" ht="10.5" customHeight="1">
      <c r="A838" s="127"/>
      <c r="B838" s="118"/>
      <c r="C838" s="128"/>
      <c r="D838" s="128"/>
      <c r="E838" s="128"/>
      <c r="F838" s="128"/>
      <c r="G838" s="128"/>
      <c r="H838" s="128"/>
      <c r="I838" s="12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</row>
    <row r="839" ht="10.5" customHeight="1">
      <c r="A839" s="127"/>
      <c r="B839" s="118"/>
      <c r="C839" s="128"/>
      <c r="D839" s="128"/>
      <c r="E839" s="128"/>
      <c r="F839" s="128"/>
      <c r="G839" s="128"/>
      <c r="H839" s="128"/>
      <c r="I839" s="12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</row>
    <row r="840" ht="10.5" customHeight="1">
      <c r="A840" s="127"/>
      <c r="B840" s="118"/>
      <c r="C840" s="128"/>
      <c r="D840" s="128"/>
      <c r="E840" s="128"/>
      <c r="F840" s="128"/>
      <c r="G840" s="128"/>
      <c r="H840" s="128"/>
      <c r="I840" s="12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</row>
    <row r="841" ht="10.5" customHeight="1">
      <c r="A841" s="127"/>
      <c r="B841" s="118"/>
      <c r="C841" s="128"/>
      <c r="D841" s="128"/>
      <c r="E841" s="128"/>
      <c r="F841" s="128"/>
      <c r="G841" s="128"/>
      <c r="H841" s="128"/>
      <c r="I841" s="12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</row>
    <row r="842" ht="10.5" customHeight="1">
      <c r="A842" s="127"/>
      <c r="B842" s="118"/>
      <c r="C842" s="128"/>
      <c r="D842" s="128"/>
      <c r="E842" s="128"/>
      <c r="F842" s="128"/>
      <c r="G842" s="128"/>
      <c r="H842" s="128"/>
      <c r="I842" s="12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</row>
    <row r="843" ht="10.5" customHeight="1">
      <c r="A843" s="127"/>
      <c r="B843" s="118"/>
      <c r="C843" s="128"/>
      <c r="D843" s="128"/>
      <c r="E843" s="128"/>
      <c r="F843" s="128"/>
      <c r="G843" s="128"/>
      <c r="H843" s="128"/>
      <c r="I843" s="12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</row>
    <row r="844" ht="10.5" customHeight="1">
      <c r="A844" s="127"/>
      <c r="B844" s="118"/>
      <c r="C844" s="128"/>
      <c r="D844" s="128"/>
      <c r="E844" s="128"/>
      <c r="F844" s="128"/>
      <c r="G844" s="128"/>
      <c r="H844" s="128"/>
      <c r="I844" s="12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</row>
    <row r="845" ht="10.5" customHeight="1">
      <c r="A845" s="127"/>
      <c r="B845" s="118"/>
      <c r="C845" s="128"/>
      <c r="D845" s="128"/>
      <c r="E845" s="128"/>
      <c r="F845" s="128"/>
      <c r="G845" s="128"/>
      <c r="H845" s="128"/>
      <c r="I845" s="12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</row>
    <row r="846" ht="10.5" customHeight="1">
      <c r="A846" s="127"/>
      <c r="B846" s="118"/>
      <c r="C846" s="128"/>
      <c r="D846" s="128"/>
      <c r="E846" s="128"/>
      <c r="F846" s="128"/>
      <c r="G846" s="128"/>
      <c r="H846" s="128"/>
      <c r="I846" s="12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</row>
    <row r="847" ht="10.5" customHeight="1">
      <c r="A847" s="127"/>
      <c r="B847" s="118"/>
      <c r="C847" s="128"/>
      <c r="D847" s="128"/>
      <c r="E847" s="128"/>
      <c r="F847" s="128"/>
      <c r="G847" s="128"/>
      <c r="H847" s="128"/>
      <c r="I847" s="12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</row>
    <row r="848" ht="10.5" customHeight="1">
      <c r="A848" s="127"/>
      <c r="B848" s="118"/>
      <c r="C848" s="128"/>
      <c r="D848" s="128"/>
      <c r="E848" s="128"/>
      <c r="F848" s="128"/>
      <c r="G848" s="128"/>
      <c r="H848" s="128"/>
      <c r="I848" s="12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</row>
    <row r="849" ht="10.5" customHeight="1">
      <c r="A849" s="127"/>
      <c r="B849" s="118"/>
      <c r="C849" s="128"/>
      <c r="D849" s="128"/>
      <c r="E849" s="128"/>
      <c r="F849" s="128"/>
      <c r="G849" s="128"/>
      <c r="H849" s="128"/>
      <c r="I849" s="12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</row>
    <row r="850" ht="10.5" customHeight="1">
      <c r="A850" s="127"/>
      <c r="B850" s="118"/>
      <c r="C850" s="128"/>
      <c r="D850" s="128"/>
      <c r="E850" s="128"/>
      <c r="F850" s="128"/>
      <c r="G850" s="128"/>
      <c r="H850" s="128"/>
      <c r="I850" s="12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</row>
    <row r="851" ht="10.5" customHeight="1">
      <c r="A851" s="127"/>
      <c r="B851" s="118"/>
      <c r="C851" s="128"/>
      <c r="D851" s="128"/>
      <c r="E851" s="128"/>
      <c r="F851" s="128"/>
      <c r="G851" s="128"/>
      <c r="H851" s="128"/>
      <c r="I851" s="12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</row>
    <row r="852" ht="10.5" customHeight="1">
      <c r="A852" s="127"/>
      <c r="B852" s="118"/>
      <c r="C852" s="128"/>
      <c r="D852" s="128"/>
      <c r="E852" s="128"/>
      <c r="F852" s="128"/>
      <c r="G852" s="128"/>
      <c r="H852" s="128"/>
      <c r="I852" s="12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</row>
    <row r="853" ht="10.5" customHeight="1">
      <c r="A853" s="127"/>
      <c r="B853" s="118"/>
      <c r="C853" s="128"/>
      <c r="D853" s="128"/>
      <c r="E853" s="128"/>
      <c r="F853" s="128"/>
      <c r="G853" s="128"/>
      <c r="H853" s="128"/>
      <c r="I853" s="12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</row>
    <row r="854" ht="10.5" customHeight="1">
      <c r="A854" s="127"/>
      <c r="B854" s="118"/>
      <c r="C854" s="128"/>
      <c r="D854" s="128"/>
      <c r="E854" s="128"/>
      <c r="F854" s="128"/>
      <c r="G854" s="128"/>
      <c r="H854" s="128"/>
      <c r="I854" s="12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</row>
    <row r="855" ht="10.5" customHeight="1">
      <c r="A855" s="127"/>
      <c r="B855" s="118"/>
      <c r="C855" s="128"/>
      <c r="D855" s="128"/>
      <c r="E855" s="128"/>
      <c r="F855" s="128"/>
      <c r="G855" s="128"/>
      <c r="H855" s="128"/>
      <c r="I855" s="12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</row>
    <row r="856" ht="10.5" customHeight="1">
      <c r="A856" s="127"/>
      <c r="B856" s="118"/>
      <c r="C856" s="128"/>
      <c r="D856" s="128"/>
      <c r="E856" s="128"/>
      <c r="F856" s="128"/>
      <c r="G856" s="128"/>
      <c r="H856" s="128"/>
      <c r="I856" s="12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</row>
    <row r="857" ht="10.5" customHeight="1">
      <c r="A857" s="127"/>
      <c r="B857" s="118"/>
      <c r="C857" s="128"/>
      <c r="D857" s="128"/>
      <c r="E857" s="128"/>
      <c r="F857" s="128"/>
      <c r="G857" s="128"/>
      <c r="H857" s="128"/>
      <c r="I857" s="12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</row>
    <row r="858" ht="10.5" customHeight="1">
      <c r="A858" s="127"/>
      <c r="B858" s="118"/>
      <c r="C858" s="128"/>
      <c r="D858" s="128"/>
      <c r="E858" s="128"/>
      <c r="F858" s="128"/>
      <c r="G858" s="128"/>
      <c r="H858" s="128"/>
      <c r="I858" s="12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</row>
    <row r="859" ht="10.5" customHeight="1">
      <c r="A859" s="127"/>
      <c r="B859" s="118"/>
      <c r="C859" s="128"/>
      <c r="D859" s="128"/>
      <c r="E859" s="128"/>
      <c r="F859" s="128"/>
      <c r="G859" s="128"/>
      <c r="H859" s="128"/>
      <c r="I859" s="12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</row>
    <row r="860" ht="10.5" customHeight="1">
      <c r="A860" s="127"/>
      <c r="B860" s="118"/>
      <c r="C860" s="128"/>
      <c r="D860" s="128"/>
      <c r="E860" s="128"/>
      <c r="F860" s="128"/>
      <c r="G860" s="128"/>
      <c r="H860" s="128"/>
      <c r="I860" s="12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</row>
    <row r="861" ht="10.5" customHeight="1">
      <c r="A861" s="127"/>
      <c r="B861" s="118"/>
      <c r="C861" s="128"/>
      <c r="D861" s="128"/>
      <c r="E861" s="128"/>
      <c r="F861" s="128"/>
      <c r="G861" s="128"/>
      <c r="H861" s="128"/>
      <c r="I861" s="12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</row>
    <row r="862" ht="10.5" customHeight="1">
      <c r="A862" s="127"/>
      <c r="B862" s="118"/>
      <c r="C862" s="128"/>
      <c r="D862" s="128"/>
      <c r="E862" s="128"/>
      <c r="F862" s="128"/>
      <c r="G862" s="128"/>
      <c r="H862" s="128"/>
      <c r="I862" s="12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</row>
    <row r="863" ht="10.5" customHeight="1">
      <c r="A863" s="127"/>
      <c r="B863" s="118"/>
      <c r="C863" s="128"/>
      <c r="D863" s="128"/>
      <c r="E863" s="128"/>
      <c r="F863" s="128"/>
      <c r="G863" s="128"/>
      <c r="H863" s="128"/>
      <c r="I863" s="12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</row>
    <row r="864" ht="10.5" customHeight="1">
      <c r="A864" s="127"/>
      <c r="B864" s="118"/>
      <c r="C864" s="128"/>
      <c r="D864" s="128"/>
      <c r="E864" s="128"/>
      <c r="F864" s="128"/>
      <c r="G864" s="128"/>
      <c r="H864" s="128"/>
      <c r="I864" s="12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</row>
    <row r="865" ht="10.5" customHeight="1">
      <c r="A865" s="127"/>
      <c r="B865" s="118"/>
      <c r="C865" s="128"/>
      <c r="D865" s="128"/>
      <c r="E865" s="128"/>
      <c r="F865" s="128"/>
      <c r="G865" s="128"/>
      <c r="H865" s="128"/>
      <c r="I865" s="12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</row>
    <row r="866" ht="10.5" customHeight="1">
      <c r="A866" s="127"/>
      <c r="B866" s="118"/>
      <c r="C866" s="128"/>
      <c r="D866" s="128"/>
      <c r="E866" s="128"/>
      <c r="F866" s="128"/>
      <c r="G866" s="128"/>
      <c r="H866" s="128"/>
      <c r="I866" s="12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</row>
    <row r="867" ht="10.5" customHeight="1">
      <c r="A867" s="127"/>
      <c r="B867" s="118"/>
      <c r="C867" s="128"/>
      <c r="D867" s="128"/>
      <c r="E867" s="128"/>
      <c r="F867" s="128"/>
      <c r="G867" s="128"/>
      <c r="H867" s="128"/>
      <c r="I867" s="12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</row>
    <row r="868" ht="10.5" customHeight="1">
      <c r="A868" s="127"/>
      <c r="B868" s="118"/>
      <c r="C868" s="128"/>
      <c r="D868" s="128"/>
      <c r="E868" s="128"/>
      <c r="F868" s="128"/>
      <c r="G868" s="128"/>
      <c r="H868" s="128"/>
      <c r="I868" s="12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</row>
    <row r="869" ht="10.5" customHeight="1">
      <c r="A869" s="127"/>
      <c r="B869" s="118"/>
      <c r="C869" s="128"/>
      <c r="D869" s="128"/>
      <c r="E869" s="128"/>
      <c r="F869" s="128"/>
      <c r="G869" s="128"/>
      <c r="H869" s="128"/>
      <c r="I869" s="12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</row>
    <row r="870" ht="10.5" customHeight="1">
      <c r="A870" s="127"/>
      <c r="B870" s="118"/>
      <c r="C870" s="128"/>
      <c r="D870" s="128"/>
      <c r="E870" s="128"/>
      <c r="F870" s="128"/>
      <c r="G870" s="128"/>
      <c r="H870" s="128"/>
      <c r="I870" s="12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</row>
    <row r="871" ht="10.5" customHeight="1">
      <c r="A871" s="127"/>
      <c r="B871" s="118"/>
      <c r="C871" s="128"/>
      <c r="D871" s="128"/>
      <c r="E871" s="128"/>
      <c r="F871" s="128"/>
      <c r="G871" s="128"/>
      <c r="H871" s="128"/>
      <c r="I871" s="12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</row>
    <row r="872" ht="10.5" customHeight="1">
      <c r="A872" s="127"/>
      <c r="B872" s="118"/>
      <c r="C872" s="128"/>
      <c r="D872" s="128"/>
      <c r="E872" s="128"/>
      <c r="F872" s="128"/>
      <c r="G872" s="128"/>
      <c r="H872" s="128"/>
      <c r="I872" s="12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</row>
    <row r="873" ht="10.5" customHeight="1">
      <c r="A873" s="127"/>
      <c r="B873" s="118"/>
      <c r="C873" s="128"/>
      <c r="D873" s="128"/>
      <c r="E873" s="128"/>
      <c r="F873" s="128"/>
      <c r="G873" s="128"/>
      <c r="H873" s="128"/>
      <c r="I873" s="12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</row>
    <row r="874" ht="10.5" customHeight="1">
      <c r="A874" s="127"/>
      <c r="B874" s="118"/>
      <c r="C874" s="128"/>
      <c r="D874" s="128"/>
      <c r="E874" s="128"/>
      <c r="F874" s="128"/>
      <c r="G874" s="128"/>
      <c r="H874" s="128"/>
      <c r="I874" s="12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</row>
    <row r="875" ht="10.5" customHeight="1">
      <c r="A875" s="127"/>
      <c r="B875" s="118"/>
      <c r="C875" s="128"/>
      <c r="D875" s="128"/>
      <c r="E875" s="128"/>
      <c r="F875" s="128"/>
      <c r="G875" s="128"/>
      <c r="H875" s="128"/>
      <c r="I875" s="12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</row>
    <row r="876" ht="10.5" customHeight="1">
      <c r="A876" s="127"/>
      <c r="B876" s="118"/>
      <c r="C876" s="128"/>
      <c r="D876" s="128"/>
      <c r="E876" s="128"/>
      <c r="F876" s="128"/>
      <c r="G876" s="128"/>
      <c r="H876" s="128"/>
      <c r="I876" s="12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</row>
    <row r="877" ht="10.5" customHeight="1">
      <c r="A877" s="127"/>
      <c r="B877" s="118"/>
      <c r="C877" s="128"/>
      <c r="D877" s="128"/>
      <c r="E877" s="128"/>
      <c r="F877" s="128"/>
      <c r="G877" s="128"/>
      <c r="H877" s="128"/>
      <c r="I877" s="12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</row>
    <row r="878" ht="10.5" customHeight="1">
      <c r="A878" s="127"/>
      <c r="B878" s="118"/>
      <c r="C878" s="128"/>
      <c r="D878" s="128"/>
      <c r="E878" s="128"/>
      <c r="F878" s="128"/>
      <c r="G878" s="128"/>
      <c r="H878" s="128"/>
      <c r="I878" s="12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</row>
    <row r="879" ht="10.5" customHeight="1">
      <c r="A879" s="127"/>
      <c r="B879" s="118"/>
      <c r="C879" s="128"/>
      <c r="D879" s="128"/>
      <c r="E879" s="128"/>
      <c r="F879" s="128"/>
      <c r="G879" s="128"/>
      <c r="H879" s="128"/>
      <c r="I879" s="12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</row>
    <row r="880" ht="10.5" customHeight="1">
      <c r="A880" s="127"/>
      <c r="B880" s="118"/>
      <c r="C880" s="128"/>
      <c r="D880" s="128"/>
      <c r="E880" s="128"/>
      <c r="F880" s="128"/>
      <c r="G880" s="128"/>
      <c r="H880" s="128"/>
      <c r="I880" s="12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</row>
    <row r="881" ht="10.5" customHeight="1">
      <c r="A881" s="127"/>
      <c r="B881" s="118"/>
      <c r="C881" s="128"/>
      <c r="D881" s="128"/>
      <c r="E881" s="128"/>
      <c r="F881" s="128"/>
      <c r="G881" s="128"/>
      <c r="H881" s="128"/>
      <c r="I881" s="12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</row>
    <row r="882" ht="10.5" customHeight="1">
      <c r="A882" s="127"/>
      <c r="B882" s="118"/>
      <c r="C882" s="128"/>
      <c r="D882" s="128"/>
      <c r="E882" s="128"/>
      <c r="F882" s="128"/>
      <c r="G882" s="128"/>
      <c r="H882" s="128"/>
      <c r="I882" s="12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</row>
    <row r="883" ht="10.5" customHeight="1">
      <c r="A883" s="127"/>
      <c r="B883" s="118"/>
      <c r="C883" s="128"/>
      <c r="D883" s="128"/>
      <c r="E883" s="128"/>
      <c r="F883" s="128"/>
      <c r="G883" s="128"/>
      <c r="H883" s="128"/>
      <c r="I883" s="12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</row>
    <row r="884" ht="10.5" customHeight="1">
      <c r="A884" s="127"/>
      <c r="B884" s="118"/>
      <c r="C884" s="128"/>
      <c r="D884" s="128"/>
      <c r="E884" s="128"/>
      <c r="F884" s="128"/>
      <c r="G884" s="128"/>
      <c r="H884" s="128"/>
      <c r="I884" s="12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</row>
    <row r="885" ht="10.5" customHeight="1">
      <c r="A885" s="127"/>
      <c r="B885" s="118"/>
      <c r="C885" s="128"/>
      <c r="D885" s="128"/>
      <c r="E885" s="128"/>
      <c r="F885" s="128"/>
      <c r="G885" s="128"/>
      <c r="H885" s="128"/>
      <c r="I885" s="12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</row>
    <row r="886" ht="10.5" customHeight="1">
      <c r="A886" s="127"/>
      <c r="B886" s="118"/>
      <c r="C886" s="128"/>
      <c r="D886" s="128"/>
      <c r="E886" s="128"/>
      <c r="F886" s="128"/>
      <c r="G886" s="128"/>
      <c r="H886" s="128"/>
      <c r="I886" s="12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</row>
    <row r="887" ht="10.5" customHeight="1">
      <c r="A887" s="127"/>
      <c r="B887" s="118"/>
      <c r="C887" s="128"/>
      <c r="D887" s="128"/>
      <c r="E887" s="128"/>
      <c r="F887" s="128"/>
      <c r="G887" s="128"/>
      <c r="H887" s="128"/>
      <c r="I887" s="12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</row>
    <row r="888" ht="10.5" customHeight="1">
      <c r="A888" s="127"/>
      <c r="B888" s="118"/>
      <c r="C888" s="128"/>
      <c r="D888" s="128"/>
      <c r="E888" s="128"/>
      <c r="F888" s="128"/>
      <c r="G888" s="128"/>
      <c r="H888" s="128"/>
      <c r="I888" s="12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</row>
    <row r="889" ht="10.5" customHeight="1">
      <c r="A889" s="127"/>
      <c r="B889" s="118"/>
      <c r="C889" s="128"/>
      <c r="D889" s="128"/>
      <c r="E889" s="128"/>
      <c r="F889" s="128"/>
      <c r="G889" s="128"/>
      <c r="H889" s="128"/>
      <c r="I889" s="12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</row>
    <row r="890" ht="10.5" customHeight="1">
      <c r="A890" s="127"/>
      <c r="B890" s="118"/>
      <c r="C890" s="128"/>
      <c r="D890" s="128"/>
      <c r="E890" s="128"/>
      <c r="F890" s="128"/>
      <c r="G890" s="128"/>
      <c r="H890" s="128"/>
      <c r="I890" s="12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</row>
    <row r="891" ht="10.5" customHeight="1">
      <c r="A891" s="127"/>
      <c r="B891" s="118"/>
      <c r="C891" s="128"/>
      <c r="D891" s="128"/>
      <c r="E891" s="128"/>
      <c r="F891" s="128"/>
      <c r="G891" s="128"/>
      <c r="H891" s="128"/>
      <c r="I891" s="12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</row>
    <row r="892" ht="10.5" customHeight="1">
      <c r="A892" s="127"/>
      <c r="B892" s="118"/>
      <c r="C892" s="128"/>
      <c r="D892" s="128"/>
      <c r="E892" s="128"/>
      <c r="F892" s="128"/>
      <c r="G892" s="128"/>
      <c r="H892" s="128"/>
      <c r="I892" s="12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</row>
    <row r="893" ht="10.5" customHeight="1">
      <c r="A893" s="127"/>
      <c r="B893" s="118"/>
      <c r="C893" s="128"/>
      <c r="D893" s="128"/>
      <c r="E893" s="128"/>
      <c r="F893" s="128"/>
      <c r="G893" s="128"/>
      <c r="H893" s="128"/>
      <c r="I893" s="12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</row>
    <row r="894" ht="10.5" customHeight="1">
      <c r="A894" s="127"/>
      <c r="B894" s="118"/>
      <c r="C894" s="128"/>
      <c r="D894" s="128"/>
      <c r="E894" s="128"/>
      <c r="F894" s="128"/>
      <c r="G894" s="128"/>
      <c r="H894" s="128"/>
      <c r="I894" s="12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</row>
    <row r="895" ht="10.5" customHeight="1">
      <c r="A895" s="127"/>
      <c r="B895" s="118"/>
      <c r="C895" s="128"/>
      <c r="D895" s="128"/>
      <c r="E895" s="128"/>
      <c r="F895" s="128"/>
      <c r="G895" s="128"/>
      <c r="H895" s="128"/>
      <c r="I895" s="12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</row>
    <row r="896" ht="10.5" customHeight="1">
      <c r="A896" s="127"/>
      <c r="B896" s="118"/>
      <c r="C896" s="128"/>
      <c r="D896" s="128"/>
      <c r="E896" s="128"/>
      <c r="F896" s="128"/>
      <c r="G896" s="128"/>
      <c r="H896" s="128"/>
      <c r="I896" s="12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</row>
    <row r="897" ht="10.5" customHeight="1">
      <c r="A897" s="127"/>
      <c r="B897" s="118"/>
      <c r="C897" s="128"/>
      <c r="D897" s="128"/>
      <c r="E897" s="128"/>
      <c r="F897" s="128"/>
      <c r="G897" s="128"/>
      <c r="H897" s="128"/>
      <c r="I897" s="12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</row>
    <row r="898" ht="10.5" customHeight="1">
      <c r="A898" s="127"/>
      <c r="B898" s="118"/>
      <c r="C898" s="128"/>
      <c r="D898" s="128"/>
      <c r="E898" s="128"/>
      <c r="F898" s="128"/>
      <c r="G898" s="128"/>
      <c r="H898" s="128"/>
      <c r="I898" s="12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</row>
    <row r="899" ht="10.5" customHeight="1">
      <c r="A899" s="127"/>
      <c r="B899" s="118"/>
      <c r="C899" s="128"/>
      <c r="D899" s="128"/>
      <c r="E899" s="128"/>
      <c r="F899" s="128"/>
      <c r="G899" s="128"/>
      <c r="H899" s="128"/>
      <c r="I899" s="12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</row>
    <row r="900" ht="10.5" customHeight="1">
      <c r="A900" s="127"/>
      <c r="B900" s="118"/>
      <c r="C900" s="128"/>
      <c r="D900" s="128"/>
      <c r="E900" s="128"/>
      <c r="F900" s="128"/>
      <c r="G900" s="128"/>
      <c r="H900" s="128"/>
      <c r="I900" s="12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</row>
    <row r="901" ht="10.5" customHeight="1">
      <c r="A901" s="127"/>
      <c r="B901" s="118"/>
      <c r="C901" s="128"/>
      <c r="D901" s="128"/>
      <c r="E901" s="128"/>
      <c r="F901" s="128"/>
      <c r="G901" s="128"/>
      <c r="H901" s="128"/>
      <c r="I901" s="12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</row>
    <row r="902" ht="10.5" customHeight="1">
      <c r="A902" s="127"/>
      <c r="B902" s="118"/>
      <c r="C902" s="128"/>
      <c r="D902" s="128"/>
      <c r="E902" s="128"/>
      <c r="F902" s="128"/>
      <c r="G902" s="128"/>
      <c r="H902" s="128"/>
      <c r="I902" s="12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</row>
    <row r="903" ht="10.5" customHeight="1">
      <c r="A903" s="127"/>
      <c r="B903" s="118"/>
      <c r="C903" s="128"/>
      <c r="D903" s="128"/>
      <c r="E903" s="128"/>
      <c r="F903" s="128"/>
      <c r="G903" s="128"/>
      <c r="H903" s="128"/>
      <c r="I903" s="12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</row>
    <row r="904" ht="10.5" customHeight="1">
      <c r="A904" s="127"/>
      <c r="B904" s="118"/>
      <c r="C904" s="128"/>
      <c r="D904" s="128"/>
      <c r="E904" s="128"/>
      <c r="F904" s="128"/>
      <c r="G904" s="128"/>
      <c r="H904" s="128"/>
      <c r="I904" s="12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</row>
    <row r="905" ht="10.5" customHeight="1">
      <c r="A905" s="127"/>
      <c r="B905" s="118"/>
      <c r="C905" s="128"/>
      <c r="D905" s="128"/>
      <c r="E905" s="128"/>
      <c r="F905" s="128"/>
      <c r="G905" s="128"/>
      <c r="H905" s="128"/>
      <c r="I905" s="12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</row>
    <row r="906" ht="10.5" customHeight="1">
      <c r="A906" s="127"/>
      <c r="B906" s="118"/>
      <c r="C906" s="128"/>
      <c r="D906" s="128"/>
      <c r="E906" s="128"/>
      <c r="F906" s="128"/>
      <c r="G906" s="128"/>
      <c r="H906" s="128"/>
      <c r="I906" s="12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</row>
    <row r="907" ht="10.5" customHeight="1">
      <c r="A907" s="127"/>
      <c r="B907" s="118"/>
      <c r="C907" s="128"/>
      <c r="D907" s="128"/>
      <c r="E907" s="128"/>
      <c r="F907" s="128"/>
      <c r="G907" s="128"/>
      <c r="H907" s="128"/>
      <c r="I907" s="12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</row>
    <row r="908" ht="10.5" customHeight="1">
      <c r="A908" s="127"/>
      <c r="B908" s="118"/>
      <c r="C908" s="128"/>
      <c r="D908" s="128"/>
      <c r="E908" s="128"/>
      <c r="F908" s="128"/>
      <c r="G908" s="128"/>
      <c r="H908" s="128"/>
      <c r="I908" s="12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</row>
    <row r="909" ht="10.5" customHeight="1">
      <c r="A909" s="127"/>
      <c r="B909" s="118"/>
      <c r="C909" s="128"/>
      <c r="D909" s="128"/>
      <c r="E909" s="128"/>
      <c r="F909" s="128"/>
      <c r="G909" s="128"/>
      <c r="H909" s="128"/>
      <c r="I909" s="12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</row>
    <row r="910" ht="10.5" customHeight="1">
      <c r="A910" s="127"/>
      <c r="B910" s="118"/>
      <c r="C910" s="128"/>
      <c r="D910" s="128"/>
      <c r="E910" s="128"/>
      <c r="F910" s="128"/>
      <c r="G910" s="128"/>
      <c r="H910" s="128"/>
      <c r="I910" s="12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</row>
    <row r="911" ht="10.5" customHeight="1">
      <c r="A911" s="127"/>
      <c r="B911" s="118"/>
      <c r="C911" s="128"/>
      <c r="D911" s="128"/>
      <c r="E911" s="128"/>
      <c r="F911" s="128"/>
      <c r="G911" s="128"/>
      <c r="H911" s="128"/>
      <c r="I911" s="12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</row>
    <row r="912" ht="10.5" customHeight="1">
      <c r="A912" s="127"/>
      <c r="B912" s="118"/>
      <c r="C912" s="128"/>
      <c r="D912" s="128"/>
      <c r="E912" s="128"/>
      <c r="F912" s="128"/>
      <c r="G912" s="128"/>
      <c r="H912" s="128"/>
      <c r="I912" s="12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</row>
    <row r="913" ht="10.5" customHeight="1">
      <c r="A913" s="127"/>
      <c r="B913" s="118"/>
      <c r="C913" s="128"/>
      <c r="D913" s="128"/>
      <c r="E913" s="128"/>
      <c r="F913" s="128"/>
      <c r="G913" s="128"/>
      <c r="H913" s="128"/>
      <c r="I913" s="12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</row>
    <row r="914" ht="10.5" customHeight="1">
      <c r="A914" s="127"/>
      <c r="B914" s="118"/>
      <c r="C914" s="128"/>
      <c r="D914" s="128"/>
      <c r="E914" s="128"/>
      <c r="F914" s="128"/>
      <c r="G914" s="128"/>
      <c r="H914" s="128"/>
      <c r="I914" s="12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</row>
    <row r="915" ht="10.5" customHeight="1">
      <c r="A915" s="127"/>
      <c r="B915" s="118"/>
      <c r="C915" s="128"/>
      <c r="D915" s="128"/>
      <c r="E915" s="128"/>
      <c r="F915" s="128"/>
      <c r="G915" s="128"/>
      <c r="H915" s="128"/>
      <c r="I915" s="12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</row>
    <row r="916" ht="10.5" customHeight="1">
      <c r="A916" s="127"/>
      <c r="B916" s="118"/>
      <c r="C916" s="128"/>
      <c r="D916" s="128"/>
      <c r="E916" s="128"/>
      <c r="F916" s="128"/>
      <c r="G916" s="128"/>
      <c r="H916" s="128"/>
      <c r="I916" s="12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</row>
    <row r="917" ht="10.5" customHeight="1">
      <c r="A917" s="127"/>
      <c r="B917" s="118"/>
      <c r="C917" s="128"/>
      <c r="D917" s="128"/>
      <c r="E917" s="128"/>
      <c r="F917" s="128"/>
      <c r="G917" s="128"/>
      <c r="H917" s="128"/>
      <c r="I917" s="12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</row>
    <row r="918" ht="10.5" customHeight="1">
      <c r="A918" s="127"/>
      <c r="B918" s="118"/>
      <c r="C918" s="128"/>
      <c r="D918" s="128"/>
      <c r="E918" s="128"/>
      <c r="F918" s="128"/>
      <c r="G918" s="128"/>
      <c r="H918" s="128"/>
      <c r="I918" s="12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</row>
    <row r="919" ht="10.5" customHeight="1">
      <c r="A919" s="127"/>
      <c r="B919" s="118"/>
      <c r="C919" s="128"/>
      <c r="D919" s="128"/>
      <c r="E919" s="128"/>
      <c r="F919" s="128"/>
      <c r="G919" s="128"/>
      <c r="H919" s="128"/>
      <c r="I919" s="12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</row>
    <row r="920" ht="10.5" customHeight="1">
      <c r="A920" s="127"/>
      <c r="B920" s="118"/>
      <c r="C920" s="128"/>
      <c r="D920" s="128"/>
      <c r="E920" s="128"/>
      <c r="F920" s="128"/>
      <c r="G920" s="128"/>
      <c r="H920" s="128"/>
      <c r="I920" s="12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</row>
    <row r="921" ht="10.5" customHeight="1">
      <c r="A921" s="127"/>
      <c r="B921" s="118"/>
      <c r="C921" s="128"/>
      <c r="D921" s="128"/>
      <c r="E921" s="128"/>
      <c r="F921" s="128"/>
      <c r="G921" s="128"/>
      <c r="H921" s="128"/>
      <c r="I921" s="12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</row>
    <row r="922" ht="10.5" customHeight="1">
      <c r="A922" s="127"/>
      <c r="B922" s="118"/>
      <c r="C922" s="128"/>
      <c r="D922" s="128"/>
      <c r="E922" s="128"/>
      <c r="F922" s="128"/>
      <c r="G922" s="128"/>
      <c r="H922" s="128"/>
      <c r="I922" s="12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</row>
    <row r="923" ht="10.5" customHeight="1">
      <c r="A923" s="127"/>
      <c r="B923" s="118"/>
      <c r="C923" s="128"/>
      <c r="D923" s="128"/>
      <c r="E923" s="128"/>
      <c r="F923" s="128"/>
      <c r="G923" s="128"/>
      <c r="H923" s="128"/>
      <c r="I923" s="12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</row>
    <row r="924" ht="10.5" customHeight="1">
      <c r="A924" s="127"/>
      <c r="B924" s="118"/>
      <c r="C924" s="128"/>
      <c r="D924" s="128"/>
      <c r="E924" s="128"/>
      <c r="F924" s="128"/>
      <c r="G924" s="128"/>
      <c r="H924" s="128"/>
      <c r="I924" s="12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</row>
    <row r="925" ht="10.5" customHeight="1">
      <c r="A925" s="127"/>
      <c r="B925" s="118"/>
      <c r="C925" s="128"/>
      <c r="D925" s="128"/>
      <c r="E925" s="128"/>
      <c r="F925" s="128"/>
      <c r="G925" s="128"/>
      <c r="H925" s="128"/>
      <c r="I925" s="12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</row>
    <row r="926" ht="10.5" customHeight="1">
      <c r="A926" s="127"/>
      <c r="B926" s="118"/>
      <c r="C926" s="128"/>
      <c r="D926" s="128"/>
      <c r="E926" s="128"/>
      <c r="F926" s="128"/>
      <c r="G926" s="128"/>
      <c r="H926" s="128"/>
      <c r="I926" s="12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</row>
    <row r="927" ht="10.5" customHeight="1">
      <c r="A927" s="127"/>
      <c r="B927" s="118"/>
      <c r="C927" s="128"/>
      <c r="D927" s="128"/>
      <c r="E927" s="128"/>
      <c r="F927" s="128"/>
      <c r="G927" s="128"/>
      <c r="H927" s="128"/>
      <c r="I927" s="12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</row>
    <row r="928" ht="10.5" customHeight="1">
      <c r="A928" s="127"/>
      <c r="B928" s="118"/>
      <c r="C928" s="128"/>
      <c r="D928" s="128"/>
      <c r="E928" s="128"/>
      <c r="F928" s="128"/>
      <c r="G928" s="128"/>
      <c r="H928" s="128"/>
      <c r="I928" s="12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</row>
    <row r="929" ht="10.5" customHeight="1">
      <c r="A929" s="127"/>
      <c r="B929" s="118"/>
      <c r="C929" s="128"/>
      <c r="D929" s="128"/>
      <c r="E929" s="128"/>
      <c r="F929" s="128"/>
      <c r="G929" s="128"/>
      <c r="H929" s="128"/>
      <c r="I929" s="12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</row>
    <row r="930" ht="10.5" customHeight="1">
      <c r="A930" s="127"/>
      <c r="B930" s="118"/>
      <c r="C930" s="128"/>
      <c r="D930" s="128"/>
      <c r="E930" s="128"/>
      <c r="F930" s="128"/>
      <c r="G930" s="128"/>
      <c r="H930" s="128"/>
      <c r="I930" s="12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</row>
    <row r="931" ht="10.5" customHeight="1">
      <c r="A931" s="127"/>
      <c r="B931" s="118"/>
      <c r="C931" s="128"/>
      <c r="D931" s="128"/>
      <c r="E931" s="128"/>
      <c r="F931" s="128"/>
      <c r="G931" s="128"/>
      <c r="H931" s="128"/>
      <c r="I931" s="12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</row>
    <row r="932" ht="10.5" customHeight="1">
      <c r="A932" s="127"/>
      <c r="B932" s="118"/>
      <c r="C932" s="128"/>
      <c r="D932" s="128"/>
      <c r="E932" s="128"/>
      <c r="F932" s="128"/>
      <c r="G932" s="128"/>
      <c r="H932" s="128"/>
      <c r="I932" s="12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</row>
    <row r="933" ht="10.5" customHeight="1">
      <c r="A933" s="127"/>
      <c r="B933" s="118"/>
      <c r="C933" s="128"/>
      <c r="D933" s="128"/>
      <c r="E933" s="128"/>
      <c r="F933" s="128"/>
      <c r="G933" s="128"/>
      <c r="H933" s="128"/>
      <c r="I933" s="12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</row>
    <row r="934" ht="10.5" customHeight="1">
      <c r="A934" s="127"/>
      <c r="B934" s="118"/>
      <c r="C934" s="128"/>
      <c r="D934" s="128"/>
      <c r="E934" s="128"/>
      <c r="F934" s="128"/>
      <c r="G934" s="128"/>
      <c r="H934" s="128"/>
      <c r="I934" s="12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</row>
    <row r="935" ht="10.5" customHeight="1">
      <c r="A935" s="127"/>
      <c r="B935" s="118"/>
      <c r="C935" s="128"/>
      <c r="D935" s="128"/>
      <c r="E935" s="128"/>
      <c r="F935" s="128"/>
      <c r="G935" s="128"/>
      <c r="H935" s="128"/>
      <c r="I935" s="12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</row>
    <row r="936" ht="10.5" customHeight="1">
      <c r="A936" s="127"/>
      <c r="B936" s="118"/>
      <c r="C936" s="128"/>
      <c r="D936" s="128"/>
      <c r="E936" s="128"/>
      <c r="F936" s="128"/>
      <c r="G936" s="128"/>
      <c r="H936" s="128"/>
      <c r="I936" s="12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</row>
    <row r="937" ht="10.5" customHeight="1">
      <c r="A937" s="127"/>
      <c r="B937" s="118"/>
      <c r="C937" s="128"/>
      <c r="D937" s="128"/>
      <c r="E937" s="128"/>
      <c r="F937" s="128"/>
      <c r="G937" s="128"/>
      <c r="H937" s="128"/>
      <c r="I937" s="12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</row>
    <row r="938" ht="10.5" customHeight="1">
      <c r="A938" s="127"/>
      <c r="B938" s="118"/>
      <c r="C938" s="128"/>
      <c r="D938" s="128"/>
      <c r="E938" s="128"/>
      <c r="F938" s="128"/>
      <c r="G938" s="128"/>
      <c r="H938" s="128"/>
      <c r="I938" s="12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</row>
    <row r="939" ht="10.5" customHeight="1">
      <c r="A939" s="127"/>
      <c r="B939" s="118"/>
      <c r="C939" s="128"/>
      <c r="D939" s="128"/>
      <c r="E939" s="128"/>
      <c r="F939" s="128"/>
      <c r="G939" s="128"/>
      <c r="H939" s="128"/>
      <c r="I939" s="12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</row>
    <row r="940" ht="10.5" customHeight="1">
      <c r="A940" s="127"/>
      <c r="B940" s="118"/>
      <c r="C940" s="128"/>
      <c r="D940" s="128"/>
      <c r="E940" s="128"/>
      <c r="F940" s="128"/>
      <c r="G940" s="128"/>
      <c r="H940" s="128"/>
      <c r="I940" s="12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</row>
    <row r="941" ht="10.5" customHeight="1">
      <c r="A941" s="127"/>
      <c r="B941" s="118"/>
      <c r="C941" s="128"/>
      <c r="D941" s="128"/>
      <c r="E941" s="128"/>
      <c r="F941" s="128"/>
      <c r="G941" s="128"/>
      <c r="H941" s="128"/>
      <c r="I941" s="12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</row>
    <row r="942" ht="10.5" customHeight="1">
      <c r="A942" s="127"/>
      <c r="B942" s="118"/>
      <c r="C942" s="128"/>
      <c r="D942" s="128"/>
      <c r="E942" s="128"/>
      <c r="F942" s="128"/>
      <c r="G942" s="128"/>
      <c r="H942" s="128"/>
      <c r="I942" s="12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</row>
    <row r="943" ht="10.5" customHeight="1">
      <c r="A943" s="127"/>
      <c r="B943" s="118"/>
      <c r="C943" s="128"/>
      <c r="D943" s="128"/>
      <c r="E943" s="128"/>
      <c r="F943" s="128"/>
      <c r="G943" s="128"/>
      <c r="H943" s="128"/>
      <c r="I943" s="12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</row>
    <row r="944" ht="10.5" customHeight="1">
      <c r="A944" s="127"/>
      <c r="B944" s="118"/>
      <c r="C944" s="128"/>
      <c r="D944" s="128"/>
      <c r="E944" s="128"/>
      <c r="F944" s="128"/>
      <c r="G944" s="128"/>
      <c r="H944" s="128"/>
      <c r="I944" s="12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</row>
    <row r="945" ht="10.5" customHeight="1">
      <c r="A945" s="127"/>
      <c r="B945" s="118"/>
      <c r="C945" s="128"/>
      <c r="D945" s="128"/>
      <c r="E945" s="128"/>
      <c r="F945" s="128"/>
      <c r="G945" s="128"/>
      <c r="H945" s="128"/>
      <c r="I945" s="12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</row>
    <row r="946" ht="10.5" customHeight="1">
      <c r="A946" s="127"/>
      <c r="B946" s="118"/>
      <c r="C946" s="128"/>
      <c r="D946" s="128"/>
      <c r="E946" s="128"/>
      <c r="F946" s="128"/>
      <c r="G946" s="128"/>
      <c r="H946" s="128"/>
      <c r="I946" s="12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</row>
    <row r="947" ht="10.5" customHeight="1">
      <c r="A947" s="127"/>
      <c r="B947" s="118"/>
      <c r="C947" s="128"/>
      <c r="D947" s="128"/>
      <c r="E947" s="128"/>
      <c r="F947" s="128"/>
      <c r="G947" s="128"/>
      <c r="H947" s="128"/>
      <c r="I947" s="12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</row>
    <row r="948" ht="10.5" customHeight="1">
      <c r="A948" s="127"/>
      <c r="B948" s="118"/>
      <c r="C948" s="128"/>
      <c r="D948" s="128"/>
      <c r="E948" s="128"/>
      <c r="F948" s="128"/>
      <c r="G948" s="128"/>
      <c r="H948" s="128"/>
      <c r="I948" s="12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</row>
    <row r="949" ht="10.5" customHeight="1">
      <c r="A949" s="127"/>
      <c r="B949" s="118"/>
      <c r="C949" s="128"/>
      <c r="D949" s="128"/>
      <c r="E949" s="128"/>
      <c r="F949" s="128"/>
      <c r="G949" s="128"/>
      <c r="H949" s="128"/>
      <c r="I949" s="12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</row>
    <row r="950" ht="10.5" customHeight="1">
      <c r="A950" s="127"/>
      <c r="B950" s="118"/>
      <c r="C950" s="128"/>
      <c r="D950" s="128"/>
      <c r="E950" s="128"/>
      <c r="F950" s="128"/>
      <c r="G950" s="128"/>
      <c r="H950" s="128"/>
      <c r="I950" s="12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</row>
    <row r="951" ht="10.5" customHeight="1">
      <c r="A951" s="127"/>
      <c r="B951" s="118"/>
      <c r="C951" s="128"/>
      <c r="D951" s="128"/>
      <c r="E951" s="128"/>
      <c r="F951" s="128"/>
      <c r="G951" s="128"/>
      <c r="H951" s="128"/>
      <c r="I951" s="12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</row>
    <row r="952" ht="10.5" customHeight="1">
      <c r="A952" s="127"/>
      <c r="B952" s="118"/>
      <c r="C952" s="128"/>
      <c r="D952" s="128"/>
      <c r="E952" s="128"/>
      <c r="F952" s="128"/>
      <c r="G952" s="128"/>
      <c r="H952" s="128"/>
      <c r="I952" s="12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</row>
    <row r="953" ht="10.5" customHeight="1">
      <c r="A953" s="127"/>
      <c r="B953" s="118"/>
      <c r="C953" s="128"/>
      <c r="D953" s="128"/>
      <c r="E953" s="128"/>
      <c r="F953" s="128"/>
      <c r="G953" s="128"/>
      <c r="H953" s="128"/>
      <c r="I953" s="12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</row>
    <row r="954" ht="10.5" customHeight="1">
      <c r="A954" s="127"/>
      <c r="B954" s="118"/>
      <c r="C954" s="128"/>
      <c r="D954" s="128"/>
      <c r="E954" s="128"/>
      <c r="F954" s="128"/>
      <c r="G954" s="128"/>
      <c r="H954" s="128"/>
      <c r="I954" s="12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</row>
    <row r="955" ht="10.5" customHeight="1">
      <c r="A955" s="127"/>
      <c r="B955" s="118"/>
      <c r="C955" s="128"/>
      <c r="D955" s="128"/>
      <c r="E955" s="128"/>
      <c r="F955" s="128"/>
      <c r="G955" s="128"/>
      <c r="H955" s="128"/>
      <c r="I955" s="12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</row>
    <row r="956" ht="10.5" customHeight="1">
      <c r="A956" s="127"/>
      <c r="B956" s="118"/>
      <c r="C956" s="128"/>
      <c r="D956" s="128"/>
      <c r="E956" s="128"/>
      <c r="F956" s="128"/>
      <c r="G956" s="128"/>
      <c r="H956" s="128"/>
      <c r="I956" s="12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</row>
    <row r="957" ht="10.5" customHeight="1">
      <c r="A957" s="127"/>
      <c r="B957" s="118"/>
      <c r="C957" s="128"/>
      <c r="D957" s="128"/>
      <c r="E957" s="128"/>
      <c r="F957" s="128"/>
      <c r="G957" s="128"/>
      <c r="H957" s="128"/>
      <c r="I957" s="12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</row>
    <row r="958" ht="10.5" customHeight="1">
      <c r="A958" s="127"/>
      <c r="B958" s="118"/>
      <c r="C958" s="128"/>
      <c r="D958" s="128"/>
      <c r="E958" s="128"/>
      <c r="F958" s="128"/>
      <c r="G958" s="128"/>
      <c r="H958" s="128"/>
      <c r="I958" s="12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</row>
    <row r="959" ht="10.5" customHeight="1">
      <c r="A959" s="127"/>
      <c r="B959" s="118"/>
      <c r="C959" s="128"/>
      <c r="D959" s="128"/>
      <c r="E959" s="128"/>
      <c r="F959" s="128"/>
      <c r="G959" s="128"/>
      <c r="H959" s="128"/>
      <c r="I959" s="12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</row>
    <row r="960" ht="10.5" customHeight="1">
      <c r="A960" s="127"/>
      <c r="B960" s="118"/>
      <c r="C960" s="128"/>
      <c r="D960" s="128"/>
      <c r="E960" s="128"/>
      <c r="F960" s="128"/>
      <c r="G960" s="128"/>
      <c r="H960" s="128"/>
      <c r="I960" s="12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</row>
    <row r="961" ht="10.5" customHeight="1">
      <c r="A961" s="127"/>
      <c r="B961" s="118"/>
      <c r="C961" s="128"/>
      <c r="D961" s="128"/>
      <c r="E961" s="128"/>
      <c r="F961" s="128"/>
      <c r="G961" s="128"/>
      <c r="H961" s="128"/>
      <c r="I961" s="12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</row>
    <row r="962" ht="10.5" customHeight="1">
      <c r="A962" s="127"/>
      <c r="B962" s="118"/>
      <c r="C962" s="128"/>
      <c r="D962" s="128"/>
      <c r="E962" s="128"/>
      <c r="F962" s="128"/>
      <c r="G962" s="128"/>
      <c r="H962" s="128"/>
      <c r="I962" s="12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</row>
    <row r="963" ht="10.5" customHeight="1">
      <c r="A963" s="127"/>
      <c r="B963" s="118"/>
      <c r="C963" s="128"/>
      <c r="D963" s="128"/>
      <c r="E963" s="128"/>
      <c r="F963" s="128"/>
      <c r="G963" s="128"/>
      <c r="H963" s="128"/>
      <c r="I963" s="12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</row>
    <row r="964" ht="10.5" customHeight="1">
      <c r="A964" s="127"/>
      <c r="B964" s="118"/>
      <c r="C964" s="128"/>
      <c r="D964" s="128"/>
      <c r="E964" s="128"/>
      <c r="F964" s="128"/>
      <c r="G964" s="128"/>
      <c r="H964" s="128"/>
      <c r="I964" s="12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</row>
    <row r="965" ht="10.5" customHeight="1">
      <c r="A965" s="127"/>
      <c r="B965" s="118"/>
      <c r="C965" s="128"/>
      <c r="D965" s="128"/>
      <c r="E965" s="128"/>
      <c r="F965" s="128"/>
      <c r="G965" s="128"/>
      <c r="H965" s="128"/>
      <c r="I965" s="12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</row>
    <row r="966" ht="10.5" customHeight="1">
      <c r="A966" s="127"/>
      <c r="B966" s="118"/>
      <c r="C966" s="128"/>
      <c r="D966" s="128"/>
      <c r="E966" s="128"/>
      <c r="F966" s="128"/>
      <c r="G966" s="128"/>
      <c r="H966" s="128"/>
      <c r="I966" s="12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</row>
    <row r="967" ht="10.5" customHeight="1">
      <c r="A967" s="127"/>
      <c r="B967" s="118"/>
      <c r="C967" s="128"/>
      <c r="D967" s="128"/>
      <c r="E967" s="128"/>
      <c r="F967" s="128"/>
      <c r="G967" s="128"/>
      <c r="H967" s="128"/>
      <c r="I967" s="12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</row>
    <row r="968" ht="10.5" customHeight="1">
      <c r="A968" s="127"/>
      <c r="B968" s="118"/>
      <c r="C968" s="128"/>
      <c r="D968" s="128"/>
      <c r="E968" s="128"/>
      <c r="F968" s="128"/>
      <c r="G968" s="128"/>
      <c r="H968" s="128"/>
      <c r="I968" s="12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</row>
    <row r="969" ht="10.5" customHeight="1">
      <c r="A969" s="127"/>
      <c r="B969" s="118"/>
      <c r="C969" s="128"/>
      <c r="D969" s="128"/>
      <c r="E969" s="128"/>
      <c r="F969" s="128"/>
      <c r="G969" s="128"/>
      <c r="H969" s="128"/>
      <c r="I969" s="12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</row>
    <row r="970" ht="10.5" customHeight="1">
      <c r="A970" s="127"/>
      <c r="B970" s="118"/>
      <c r="C970" s="128"/>
      <c r="D970" s="128"/>
      <c r="E970" s="128"/>
      <c r="F970" s="128"/>
      <c r="G970" s="128"/>
      <c r="H970" s="128"/>
      <c r="I970" s="12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</row>
    <row r="971" ht="10.5" customHeight="1">
      <c r="A971" s="127"/>
      <c r="B971" s="118"/>
      <c r="C971" s="128"/>
      <c r="D971" s="128"/>
      <c r="E971" s="128"/>
      <c r="F971" s="128"/>
      <c r="G971" s="128"/>
      <c r="H971" s="128"/>
      <c r="I971" s="12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</row>
    <row r="972" ht="10.5" customHeight="1">
      <c r="A972" s="127"/>
      <c r="B972" s="118"/>
      <c r="C972" s="128"/>
      <c r="D972" s="128"/>
      <c r="E972" s="128"/>
      <c r="F972" s="128"/>
      <c r="G972" s="128"/>
      <c r="H972" s="128"/>
      <c r="I972" s="12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</row>
    <row r="973" ht="10.5" customHeight="1">
      <c r="A973" s="127"/>
      <c r="B973" s="118"/>
      <c r="C973" s="128"/>
      <c r="D973" s="128"/>
      <c r="E973" s="128"/>
      <c r="F973" s="128"/>
      <c r="G973" s="128"/>
      <c r="H973" s="128"/>
      <c r="I973" s="12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</row>
    <row r="974" ht="10.5" customHeight="1">
      <c r="A974" s="127"/>
      <c r="B974" s="118"/>
      <c r="C974" s="128"/>
      <c r="D974" s="128"/>
      <c r="E974" s="128"/>
      <c r="F974" s="128"/>
      <c r="G974" s="128"/>
      <c r="H974" s="128"/>
      <c r="I974" s="12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</row>
    <row r="975" ht="10.5" customHeight="1">
      <c r="A975" s="127"/>
      <c r="B975" s="118"/>
      <c r="C975" s="128"/>
      <c r="D975" s="128"/>
      <c r="E975" s="128"/>
      <c r="F975" s="128"/>
      <c r="G975" s="128"/>
      <c r="H975" s="128"/>
      <c r="I975" s="12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</row>
    <row r="976" ht="10.5" customHeight="1">
      <c r="A976" s="127"/>
      <c r="B976" s="118"/>
      <c r="C976" s="128"/>
      <c r="D976" s="128"/>
      <c r="E976" s="128"/>
      <c r="F976" s="128"/>
      <c r="G976" s="128"/>
      <c r="H976" s="128"/>
      <c r="I976" s="12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</row>
    <row r="977" ht="10.5" customHeight="1">
      <c r="A977" s="127"/>
      <c r="B977" s="118"/>
      <c r="C977" s="128"/>
      <c r="D977" s="128"/>
      <c r="E977" s="128"/>
      <c r="F977" s="128"/>
      <c r="G977" s="128"/>
      <c r="H977" s="128"/>
      <c r="I977" s="12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</row>
    <row r="978" ht="10.5" customHeight="1">
      <c r="A978" s="127"/>
      <c r="B978" s="118"/>
      <c r="C978" s="128"/>
      <c r="D978" s="128"/>
      <c r="E978" s="128"/>
      <c r="F978" s="128"/>
      <c r="G978" s="128"/>
      <c r="H978" s="128"/>
      <c r="I978" s="12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</row>
    <row r="979" ht="10.5" customHeight="1">
      <c r="A979" s="127"/>
      <c r="B979" s="118"/>
      <c r="C979" s="128"/>
      <c r="D979" s="128"/>
      <c r="E979" s="128"/>
      <c r="F979" s="128"/>
      <c r="G979" s="128"/>
      <c r="H979" s="128"/>
      <c r="I979" s="12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</row>
    <row r="980" ht="10.5" customHeight="1">
      <c r="A980" s="127"/>
      <c r="B980" s="118"/>
      <c r="C980" s="128"/>
      <c r="D980" s="128"/>
      <c r="E980" s="128"/>
      <c r="F980" s="128"/>
      <c r="G980" s="128"/>
      <c r="H980" s="128"/>
      <c r="I980" s="12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</row>
    <row r="981" ht="10.5" customHeight="1">
      <c r="A981" s="127"/>
      <c r="B981" s="118"/>
      <c r="C981" s="128"/>
      <c r="D981" s="128"/>
      <c r="E981" s="128"/>
      <c r="F981" s="128"/>
      <c r="G981" s="128"/>
      <c r="H981" s="128"/>
      <c r="I981" s="12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</row>
    <row r="982" ht="10.5" customHeight="1">
      <c r="A982" s="127"/>
      <c r="B982" s="118"/>
      <c r="C982" s="128"/>
      <c r="D982" s="128"/>
      <c r="E982" s="128"/>
      <c r="F982" s="128"/>
      <c r="G982" s="128"/>
      <c r="H982" s="128"/>
      <c r="I982" s="12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</row>
    <row r="983" ht="10.5" customHeight="1">
      <c r="A983" s="127"/>
      <c r="B983" s="118"/>
      <c r="C983" s="128"/>
      <c r="D983" s="128"/>
      <c r="E983" s="128"/>
      <c r="F983" s="128"/>
      <c r="G983" s="128"/>
      <c r="H983" s="128"/>
      <c r="I983" s="12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</row>
    <row r="984" ht="10.5" customHeight="1">
      <c r="A984" s="127"/>
      <c r="B984" s="118"/>
      <c r="C984" s="128"/>
      <c r="D984" s="128"/>
      <c r="E984" s="128"/>
      <c r="F984" s="128"/>
      <c r="G984" s="128"/>
      <c r="H984" s="128"/>
      <c r="I984" s="12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</row>
    <row r="985" ht="10.5" customHeight="1">
      <c r="A985" s="127"/>
      <c r="B985" s="118"/>
      <c r="C985" s="128"/>
      <c r="D985" s="128"/>
      <c r="E985" s="128"/>
      <c r="F985" s="128"/>
      <c r="G985" s="128"/>
      <c r="H985" s="128"/>
      <c r="I985" s="12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</row>
    <row r="986" ht="10.5" customHeight="1">
      <c r="A986" s="127"/>
      <c r="B986" s="118"/>
      <c r="C986" s="128"/>
      <c r="D986" s="128"/>
      <c r="E986" s="128"/>
      <c r="F986" s="128"/>
      <c r="G986" s="128"/>
      <c r="H986" s="128"/>
      <c r="I986" s="12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</row>
    <row r="987" ht="10.5" customHeight="1">
      <c r="A987" s="127"/>
      <c r="B987" s="118"/>
      <c r="C987" s="128"/>
      <c r="D987" s="128"/>
      <c r="E987" s="128"/>
      <c r="F987" s="128"/>
      <c r="G987" s="128"/>
      <c r="H987" s="128"/>
      <c r="I987" s="12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</row>
    <row r="988" ht="10.5" customHeight="1">
      <c r="A988" s="127"/>
      <c r="B988" s="118"/>
      <c r="C988" s="128"/>
      <c r="D988" s="128"/>
      <c r="E988" s="128"/>
      <c r="F988" s="128"/>
      <c r="G988" s="128"/>
      <c r="H988" s="128"/>
      <c r="I988" s="12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</row>
    <row r="989" ht="10.5" customHeight="1">
      <c r="A989" s="127"/>
      <c r="B989" s="118"/>
      <c r="C989" s="128"/>
      <c r="D989" s="128"/>
      <c r="E989" s="128"/>
      <c r="F989" s="128"/>
      <c r="G989" s="128"/>
      <c r="H989" s="128"/>
      <c r="I989" s="12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</row>
    <row r="990" ht="10.5" customHeight="1">
      <c r="A990" s="127"/>
      <c r="B990" s="118"/>
      <c r="C990" s="128"/>
      <c r="D990" s="128"/>
      <c r="E990" s="128"/>
      <c r="F990" s="128"/>
      <c r="G990" s="128"/>
      <c r="H990" s="128"/>
      <c r="I990" s="12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</row>
    <row r="991" ht="10.5" customHeight="1">
      <c r="A991" s="127"/>
      <c r="B991" s="118"/>
      <c r="C991" s="128"/>
      <c r="D991" s="128"/>
      <c r="E991" s="128"/>
      <c r="F991" s="128"/>
      <c r="G991" s="128"/>
      <c r="H991" s="128"/>
      <c r="I991" s="12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</row>
    <row r="992" ht="10.5" customHeight="1">
      <c r="A992" s="127"/>
      <c r="B992" s="118"/>
      <c r="C992" s="128"/>
      <c r="D992" s="128"/>
      <c r="E992" s="128"/>
      <c r="F992" s="128"/>
      <c r="G992" s="128"/>
      <c r="H992" s="128"/>
      <c r="I992" s="12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</row>
    <row r="993" ht="10.5" customHeight="1">
      <c r="A993" s="127"/>
      <c r="B993" s="118"/>
      <c r="C993" s="128"/>
      <c r="D993" s="128"/>
      <c r="E993" s="128"/>
      <c r="F993" s="128"/>
      <c r="G993" s="128"/>
      <c r="H993" s="128"/>
      <c r="I993" s="12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</row>
    <row r="994" ht="10.5" customHeight="1">
      <c r="A994" s="127"/>
      <c r="B994" s="118"/>
      <c r="C994" s="128"/>
      <c r="D994" s="128"/>
      <c r="E994" s="128"/>
      <c r="F994" s="128"/>
      <c r="G994" s="128"/>
      <c r="H994" s="128"/>
      <c r="I994" s="12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</row>
    <row r="995" ht="10.5" customHeight="1">
      <c r="A995" s="127"/>
      <c r="B995" s="118"/>
      <c r="C995" s="128"/>
      <c r="D995" s="128"/>
      <c r="E995" s="128"/>
      <c r="F995" s="128"/>
      <c r="G995" s="128"/>
      <c r="H995" s="128"/>
      <c r="I995" s="12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</row>
    <row r="996" ht="10.5" customHeight="1">
      <c r="A996" s="127"/>
      <c r="B996" s="118"/>
      <c r="C996" s="128"/>
      <c r="D996" s="128"/>
      <c r="E996" s="128"/>
      <c r="F996" s="128"/>
      <c r="G996" s="128"/>
      <c r="H996" s="128"/>
      <c r="I996" s="12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</row>
    <row r="997" ht="10.5" customHeight="1">
      <c r="A997" s="127"/>
      <c r="B997" s="118"/>
      <c r="C997" s="128"/>
      <c r="D997" s="128"/>
      <c r="E997" s="128"/>
      <c r="F997" s="128"/>
      <c r="G997" s="128"/>
      <c r="H997" s="128"/>
      <c r="I997" s="12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</row>
    <row r="998" ht="10.5" customHeight="1">
      <c r="A998" s="127"/>
      <c r="B998" s="118"/>
      <c r="C998" s="128"/>
      <c r="D998" s="128"/>
      <c r="E998" s="128"/>
      <c r="F998" s="128"/>
      <c r="G998" s="128"/>
      <c r="H998" s="128"/>
      <c r="I998" s="12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</row>
    <row r="999" ht="10.5" customHeight="1">
      <c r="A999" s="127"/>
      <c r="B999" s="118"/>
      <c r="C999" s="128"/>
      <c r="D999" s="128"/>
      <c r="E999" s="128"/>
      <c r="F999" s="128"/>
      <c r="G999" s="128"/>
      <c r="H999" s="128"/>
      <c r="I999" s="12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</row>
    <row r="1000" ht="10.5" customHeight="1">
      <c r="A1000" s="127"/>
      <c r="B1000" s="118"/>
      <c r="C1000" s="128"/>
      <c r="D1000" s="128"/>
      <c r="E1000" s="128"/>
      <c r="F1000" s="128"/>
      <c r="G1000" s="128"/>
      <c r="H1000" s="128"/>
      <c r="I1000" s="12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</row>
  </sheetData>
  <mergeCells count="98">
    <mergeCell ref="H3:H5"/>
    <mergeCell ref="I3:I5"/>
    <mergeCell ref="J3:J5"/>
    <mergeCell ref="K3:K5"/>
    <mergeCell ref="C121:L122"/>
    <mergeCell ref="L3:L5"/>
    <mergeCell ref="M3:M5"/>
    <mergeCell ref="N3:N5"/>
    <mergeCell ref="O3:O5"/>
    <mergeCell ref="P3:P5"/>
    <mergeCell ref="Q3:Q5"/>
    <mergeCell ref="R3:R5"/>
    <mergeCell ref="S3:S5"/>
    <mergeCell ref="A21:A23"/>
    <mergeCell ref="A24:A26"/>
    <mergeCell ref="A27:A29"/>
    <mergeCell ref="A30:A32"/>
    <mergeCell ref="A33:A35"/>
    <mergeCell ref="F3:F5"/>
    <mergeCell ref="G3:G5"/>
    <mergeCell ref="A6:A8"/>
    <mergeCell ref="A9:A11"/>
    <mergeCell ref="A12:A14"/>
    <mergeCell ref="A15:A17"/>
    <mergeCell ref="A18:A20"/>
    <mergeCell ref="AH3:AH5"/>
    <mergeCell ref="AI3:AI5"/>
    <mergeCell ref="AJ3:AJ5"/>
    <mergeCell ref="AK3:AK5"/>
    <mergeCell ref="AL3:AL5"/>
    <mergeCell ref="AM3:AM5"/>
    <mergeCell ref="A1:B2"/>
    <mergeCell ref="C1:AO2"/>
    <mergeCell ref="A3:A5"/>
    <mergeCell ref="B3:B5"/>
    <mergeCell ref="C3:C5"/>
    <mergeCell ref="D3:D5"/>
    <mergeCell ref="E3:E5"/>
    <mergeCell ref="AN3:AN5"/>
    <mergeCell ref="AO3:AO5"/>
    <mergeCell ref="AQ3:AQ5"/>
    <mergeCell ref="AR3:AR5"/>
    <mergeCell ref="AS3:AS5"/>
    <mergeCell ref="AT3:AT5"/>
    <mergeCell ref="AU3:AU5"/>
    <mergeCell ref="BC3:BC5"/>
    <mergeCell ref="BD3:BD5"/>
    <mergeCell ref="AV3:AV5"/>
    <mergeCell ref="AW3:AW5"/>
    <mergeCell ref="AX3:AX5"/>
    <mergeCell ref="AY3:AY5"/>
    <mergeCell ref="AZ3:AZ5"/>
    <mergeCell ref="BA3:BA5"/>
    <mergeCell ref="BB3:BB5"/>
    <mergeCell ref="AM9:AM11"/>
    <mergeCell ref="AM12:AM14"/>
    <mergeCell ref="AN12:AN14"/>
    <mergeCell ref="AO12:AO14"/>
    <mergeCell ref="AM15:AM17"/>
    <mergeCell ref="AN15:AN17"/>
    <mergeCell ref="AO15:AO17"/>
    <mergeCell ref="AN24:AN26"/>
    <mergeCell ref="AO24:AO26"/>
    <mergeCell ref="AM18:AM20"/>
    <mergeCell ref="AN18:AN20"/>
    <mergeCell ref="AO18:AO20"/>
    <mergeCell ref="AM21:AM23"/>
    <mergeCell ref="AN21:AN23"/>
    <mergeCell ref="AO21:AO23"/>
    <mergeCell ref="AM24:AM26"/>
    <mergeCell ref="AN33:AN35"/>
    <mergeCell ref="AO33:AO35"/>
    <mergeCell ref="AM27:AM29"/>
    <mergeCell ref="AN27:AN29"/>
    <mergeCell ref="AO27:AO29"/>
    <mergeCell ref="AM30:AM32"/>
    <mergeCell ref="AN30:AN32"/>
    <mergeCell ref="AO30:AO32"/>
    <mergeCell ref="AM33:AM3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M6:AM8"/>
    <mergeCell ref="AN6:AN8"/>
    <mergeCell ref="AO6:AO8"/>
    <mergeCell ref="AN9:AN11"/>
    <mergeCell ref="AO9:AO1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57"/>
  </cols>
  <sheetData>
    <row r="1" ht="13.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43"/>
    <col customWidth="1" min="2" max="2" width="10.14"/>
    <col customWidth="1" min="3" max="38" width="3.57"/>
    <col customWidth="1" min="39" max="39" width="7.57"/>
    <col customWidth="1" min="40" max="40" width="3.57"/>
    <col customWidth="1" min="41" max="42" width="9.43"/>
    <col customWidth="1" min="43" max="56" width="3.57"/>
  </cols>
  <sheetData>
    <row r="1" ht="21.75" customHeight="1">
      <c r="A1" s="1">
        <v>2025.0</v>
      </c>
      <c r="B1" s="2"/>
      <c r="C1" s="7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2"/>
      <c r="AP1" s="8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2" ht="22.5" customHeight="1">
      <c r="A2" s="10"/>
      <c r="B2" s="11"/>
      <c r="C2" s="1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1"/>
      <c r="AP2" s="8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ht="11.25" customHeight="1">
      <c r="A3" s="13" t="s">
        <v>24</v>
      </c>
      <c r="B3" s="3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5" t="s">
        <v>7</v>
      </c>
      <c r="H3" s="6" t="s">
        <v>9</v>
      </c>
      <c r="I3" s="5" t="s">
        <v>10</v>
      </c>
      <c r="J3" s="6" t="s">
        <v>11</v>
      </c>
      <c r="K3" s="5" t="s">
        <v>12</v>
      </c>
      <c r="L3" s="6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6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14" t="s">
        <v>40</v>
      </c>
      <c r="AM3" s="28" t="s">
        <v>47</v>
      </c>
      <c r="AN3" s="29" t="s">
        <v>48</v>
      </c>
      <c r="AO3" s="30" t="s">
        <v>49</v>
      </c>
      <c r="AP3" s="31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ht="12.75" customHeight="1">
      <c r="A4" s="39"/>
      <c r="B4" s="16"/>
      <c r="C4" s="17"/>
      <c r="D4" s="18"/>
      <c r="E4" s="17"/>
      <c r="F4" s="18"/>
      <c r="G4" s="17"/>
      <c r="H4" s="18"/>
      <c r="I4" s="17"/>
      <c r="J4" s="18"/>
      <c r="K4" s="17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9"/>
      <c r="AM4" s="39"/>
      <c r="AN4" s="16"/>
      <c r="AO4" s="44"/>
      <c r="AP4" s="31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ht="10.5" customHeight="1">
      <c r="A5" s="47"/>
      <c r="B5" s="48"/>
      <c r="C5" s="49"/>
      <c r="D5" s="50"/>
      <c r="E5" s="49"/>
      <c r="F5" s="50"/>
      <c r="G5" s="49"/>
      <c r="H5" s="50"/>
      <c r="I5" s="49"/>
      <c r="J5" s="50"/>
      <c r="K5" s="49"/>
      <c r="L5" s="50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  <c r="AD5" s="49"/>
      <c r="AE5" s="49"/>
      <c r="AF5" s="49"/>
      <c r="AG5" s="49"/>
      <c r="AH5" s="49"/>
      <c r="AI5" s="49"/>
      <c r="AJ5" s="49"/>
      <c r="AK5" s="49"/>
      <c r="AL5" s="51"/>
      <c r="AM5" s="47"/>
      <c r="AN5" s="48"/>
      <c r="AO5" s="52"/>
      <c r="AP5" s="31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ht="10.5" customHeight="1">
      <c r="A6" s="54" t="str">
        <f>Drivers!AQ4</f>
        <v>Dustin</v>
      </c>
      <c r="B6" s="55" t="str">
        <f>Drivers!AR4</f>
        <v>Briscoe</v>
      </c>
      <c r="C6" s="57">
        <f>Drivers!C19</f>
        <v>1</v>
      </c>
      <c r="D6" s="57">
        <f>Drivers!D19</f>
        <v>43</v>
      </c>
      <c r="E6" s="57">
        <f>Drivers!E19</f>
        <v>1</v>
      </c>
      <c r="F6" s="57">
        <f>Drivers!F19</f>
        <v>1</v>
      </c>
      <c r="G6" s="57">
        <f>Drivers!G19</f>
        <v>29</v>
      </c>
      <c r="H6" s="57">
        <f>Drivers!H19</f>
        <v>32</v>
      </c>
      <c r="I6" s="57">
        <f>Drivers!I19</f>
        <v>23</v>
      </c>
      <c r="J6" s="57">
        <f>Drivers!J19</f>
        <v>45</v>
      </c>
      <c r="K6" s="57">
        <f>Drivers!K19</f>
        <v>38</v>
      </c>
      <c r="L6" s="57">
        <f>Drivers!L19</f>
        <v>8</v>
      </c>
      <c r="M6" s="57">
        <f>Drivers!M19</f>
        <v>20</v>
      </c>
      <c r="N6" s="57">
        <f>Drivers!N19</f>
        <v>35</v>
      </c>
      <c r="O6" s="57">
        <f>Drivers!O19</f>
        <v>27</v>
      </c>
      <c r="P6" s="57">
        <f>Drivers!P19</f>
        <v>39</v>
      </c>
      <c r="Q6" s="57">
        <f>Drivers!Q19</f>
        <v>27</v>
      </c>
      <c r="R6" s="57">
        <f>Drivers!R19</f>
        <v>41</v>
      </c>
      <c r="S6" s="57">
        <f>Drivers!S19</f>
        <v>20</v>
      </c>
      <c r="T6" s="57">
        <f>Drivers!T19</f>
        <v>37</v>
      </c>
      <c r="U6" s="57">
        <f>Drivers!U19</f>
        <v>70</v>
      </c>
      <c r="V6" s="57">
        <f>Drivers!V19</f>
        <v>4</v>
      </c>
      <c r="W6" s="57">
        <f>Drivers!W19</f>
        <v>45</v>
      </c>
      <c r="X6" s="57">
        <f>Drivers!X19</f>
        <v>36</v>
      </c>
      <c r="Y6" s="57">
        <f>Drivers!Y19</f>
        <v>40</v>
      </c>
      <c r="Z6" s="57">
        <f>Drivers!Z19</f>
        <v>52</v>
      </c>
      <c r="AA6" s="57">
        <f>Drivers!AA19</f>
        <v>12</v>
      </c>
      <c r="AB6" s="57">
        <f>Drivers!AB19</f>
        <v>34</v>
      </c>
      <c r="AC6" s="57" t="str">
        <f>Drivers!AC19</f>
        <v/>
      </c>
      <c r="AD6" s="57" t="str">
        <f>Drivers!AD19</f>
        <v/>
      </c>
      <c r="AE6" s="57" t="str">
        <f>Drivers!AE19</f>
        <v/>
      </c>
      <c r="AF6" s="57" t="str">
        <f>Drivers!AF19</f>
        <v/>
      </c>
      <c r="AG6" s="57" t="str">
        <f>Drivers!AG19</f>
        <v/>
      </c>
      <c r="AH6" s="57" t="str">
        <f>Drivers!AH19</f>
        <v/>
      </c>
      <c r="AI6" s="57" t="str">
        <f>Drivers!AI19</f>
        <v/>
      </c>
      <c r="AJ6" s="57" t="str">
        <f>Drivers!AJ19</f>
        <v/>
      </c>
      <c r="AK6" s="57" t="str">
        <f>Drivers!AK19</f>
        <v/>
      </c>
      <c r="AL6" s="57" t="str">
        <f>Drivers!AL19</f>
        <v/>
      </c>
      <c r="AM6" s="61">
        <f>SUM(C8:AL8)</f>
        <v>1459</v>
      </c>
      <c r="AN6" s="62">
        <f>RANK($AM$6:$AM$35,$AM$6:$AM$35,1&gt;10)</f>
        <v>5</v>
      </c>
      <c r="AO6" s="63">
        <f>AVERAGE(C8:AL8)</f>
        <v>40.52777778</v>
      </c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ht="12.75" customHeight="1">
      <c r="A7" s="64"/>
      <c r="B7" s="55" t="str">
        <f>Drivers!AR5</f>
        <v>Logano</v>
      </c>
      <c r="C7" s="65">
        <f>Drivers!C22</f>
        <v>36</v>
      </c>
      <c r="D7" s="65">
        <f>Drivers!D22</f>
        <v>22</v>
      </c>
      <c r="E7" s="65">
        <f>Drivers!E22</f>
        <v>22</v>
      </c>
      <c r="F7" s="65">
        <f>Drivers!F22</f>
        <v>23</v>
      </c>
      <c r="G7" s="65">
        <f>Drivers!G22</f>
        <v>22</v>
      </c>
      <c r="H7" s="65">
        <f>Drivers!H22</f>
        <v>4</v>
      </c>
      <c r="I7" s="65">
        <f>Drivers!I22</f>
        <v>46</v>
      </c>
      <c r="J7" s="65">
        <f>Drivers!J22</f>
        <v>33</v>
      </c>
      <c r="K7" s="65">
        <f>Drivers!K22</f>
        <v>7</v>
      </c>
      <c r="L7" s="65">
        <f>Drivers!L22</f>
        <v>9</v>
      </c>
      <c r="M7" s="65">
        <f>Drivers!M22</f>
        <v>1</v>
      </c>
      <c r="N7" s="65">
        <f>Drivers!N22</f>
        <v>10</v>
      </c>
      <c r="O7" s="65">
        <f>Drivers!O22</f>
        <v>29</v>
      </c>
      <c r="P7" s="65">
        <f>Drivers!P22</f>
        <v>23</v>
      </c>
      <c r="Q7" s="65">
        <f>Drivers!Q22</f>
        <v>32</v>
      </c>
      <c r="R7" s="65">
        <f>Drivers!R22</f>
        <v>5</v>
      </c>
      <c r="S7" s="65">
        <f>Drivers!S22</f>
        <v>23</v>
      </c>
      <c r="T7" s="65">
        <f>Drivers!T22</f>
        <v>13</v>
      </c>
      <c r="U7" s="65">
        <f>Drivers!U22</f>
        <v>25</v>
      </c>
      <c r="V7" s="65">
        <f>Drivers!V22</f>
        <v>43</v>
      </c>
      <c r="W7" s="65">
        <f>Drivers!W22</f>
        <v>73</v>
      </c>
      <c r="X7" s="65">
        <f>Drivers!X22</f>
        <v>34</v>
      </c>
      <c r="Y7" s="65">
        <f>Drivers!Y22</f>
        <v>41</v>
      </c>
      <c r="Z7" s="65">
        <f>Drivers!Z22</f>
        <v>73</v>
      </c>
      <c r="AA7" s="65">
        <f>Drivers!AA22</f>
        <v>23</v>
      </c>
      <c r="AB7" s="65">
        <f>Drivers!AB22</f>
        <v>27</v>
      </c>
      <c r="AC7" s="65" t="str">
        <f>Drivers!AC22</f>
        <v/>
      </c>
      <c r="AD7" s="65" t="str">
        <f>Drivers!AD22</f>
        <v/>
      </c>
      <c r="AE7" s="65" t="str">
        <f>Drivers!AE22</f>
        <v/>
      </c>
      <c r="AF7" s="65" t="str">
        <f>Drivers!AF22</f>
        <v/>
      </c>
      <c r="AG7" s="65" t="str">
        <f>Drivers!AG22</f>
        <v/>
      </c>
      <c r="AH7" s="65" t="str">
        <f>Drivers!AH22</f>
        <v/>
      </c>
      <c r="AI7" s="65" t="str">
        <f>Drivers!AI22</f>
        <v/>
      </c>
      <c r="AJ7" s="65" t="str">
        <f>Drivers!AJ22</f>
        <v/>
      </c>
      <c r="AK7" s="65" t="str">
        <f>Drivers!AK22</f>
        <v/>
      </c>
      <c r="AL7" s="65" t="str">
        <f>Drivers!AL22</f>
        <v/>
      </c>
      <c r="AM7" s="16"/>
      <c r="AN7" s="16"/>
      <c r="AO7" s="16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</row>
    <row r="8" ht="13.5" customHeight="1">
      <c r="A8" s="68"/>
      <c r="B8" s="55"/>
      <c r="C8" s="69">
        <f t="shared" ref="C8:AL8" si="1">SUM(C6+C7)</f>
        <v>37</v>
      </c>
      <c r="D8" s="69">
        <f t="shared" si="1"/>
        <v>65</v>
      </c>
      <c r="E8" s="69">
        <f t="shared" si="1"/>
        <v>23</v>
      </c>
      <c r="F8" s="69">
        <f t="shared" si="1"/>
        <v>24</v>
      </c>
      <c r="G8" s="69">
        <f t="shared" si="1"/>
        <v>51</v>
      </c>
      <c r="H8" s="69">
        <f t="shared" si="1"/>
        <v>36</v>
      </c>
      <c r="I8" s="69">
        <f t="shared" si="1"/>
        <v>69</v>
      </c>
      <c r="J8" s="69">
        <f t="shared" si="1"/>
        <v>78</v>
      </c>
      <c r="K8" s="69">
        <f t="shared" si="1"/>
        <v>45</v>
      </c>
      <c r="L8" s="71">
        <f t="shared" si="1"/>
        <v>17</v>
      </c>
      <c r="M8" s="69">
        <f t="shared" si="1"/>
        <v>21</v>
      </c>
      <c r="N8" s="69">
        <f t="shared" si="1"/>
        <v>45</v>
      </c>
      <c r="O8" s="69">
        <f t="shared" si="1"/>
        <v>56</v>
      </c>
      <c r="P8" s="69">
        <f t="shared" si="1"/>
        <v>62</v>
      </c>
      <c r="Q8" s="69">
        <f t="shared" si="1"/>
        <v>59</v>
      </c>
      <c r="R8" s="69">
        <f t="shared" si="1"/>
        <v>46</v>
      </c>
      <c r="S8" s="69">
        <f t="shared" si="1"/>
        <v>43</v>
      </c>
      <c r="T8" s="69">
        <f t="shared" si="1"/>
        <v>50</v>
      </c>
      <c r="U8" s="69">
        <f t="shared" si="1"/>
        <v>95</v>
      </c>
      <c r="V8" s="69">
        <f t="shared" si="1"/>
        <v>47</v>
      </c>
      <c r="W8" s="69">
        <f t="shared" si="1"/>
        <v>118</v>
      </c>
      <c r="X8" s="69">
        <f t="shared" si="1"/>
        <v>70</v>
      </c>
      <c r="Y8" s="69">
        <f t="shared" si="1"/>
        <v>81</v>
      </c>
      <c r="Z8" s="69">
        <f t="shared" si="1"/>
        <v>125</v>
      </c>
      <c r="AA8" s="69">
        <f t="shared" si="1"/>
        <v>35</v>
      </c>
      <c r="AB8" s="69">
        <f t="shared" si="1"/>
        <v>61</v>
      </c>
      <c r="AC8" s="71">
        <f t="shared" si="1"/>
        <v>0</v>
      </c>
      <c r="AD8" s="69">
        <f t="shared" si="1"/>
        <v>0</v>
      </c>
      <c r="AE8" s="69">
        <f t="shared" si="1"/>
        <v>0</v>
      </c>
      <c r="AF8" s="69">
        <f t="shared" si="1"/>
        <v>0</v>
      </c>
      <c r="AG8" s="69">
        <f t="shared" si="1"/>
        <v>0</v>
      </c>
      <c r="AH8" s="69">
        <f t="shared" si="1"/>
        <v>0</v>
      </c>
      <c r="AI8" s="69">
        <f t="shared" si="1"/>
        <v>0</v>
      </c>
      <c r="AJ8" s="69">
        <f t="shared" si="1"/>
        <v>0</v>
      </c>
      <c r="AK8" s="69">
        <f t="shared" si="1"/>
        <v>0</v>
      </c>
      <c r="AL8" s="74">
        <f t="shared" si="1"/>
        <v>0</v>
      </c>
      <c r="AM8" s="21"/>
      <c r="AN8" s="21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</row>
    <row r="9" ht="12.75" customHeight="1">
      <c r="A9" s="78" t="str">
        <f>Drivers!AQ7</f>
        <v>Derrick</v>
      </c>
      <c r="B9" s="79" t="str">
        <f>Drivers!AR7</f>
        <v>Bell</v>
      </c>
      <c r="C9" s="80">
        <f>Drivers!C20</f>
        <v>2</v>
      </c>
      <c r="D9" s="80">
        <f>Drivers!D20</f>
        <v>16</v>
      </c>
      <c r="E9" s="80">
        <f>Drivers!E20</f>
        <v>34</v>
      </c>
      <c r="F9" s="80">
        <f>Drivers!F20</f>
        <v>54</v>
      </c>
      <c r="G9" s="80">
        <f>Drivers!G20</f>
        <v>51</v>
      </c>
      <c r="H9" s="80">
        <f>Drivers!H20</f>
        <v>18</v>
      </c>
      <c r="I9" s="80">
        <f>Drivers!I20</f>
        <v>30</v>
      </c>
      <c r="J9" s="80">
        <f>Drivers!J20</f>
        <v>19</v>
      </c>
      <c r="K9" s="80">
        <f>Drivers!K20</f>
        <v>30</v>
      </c>
      <c r="L9" s="80">
        <f>Drivers!L20</f>
        <v>29</v>
      </c>
      <c r="M9" s="80">
        <f>Drivers!M20</f>
        <v>1</v>
      </c>
      <c r="N9" s="80">
        <f>Drivers!N20</f>
        <v>20</v>
      </c>
      <c r="O9" s="80">
        <f>Drivers!O20</f>
        <v>50</v>
      </c>
      <c r="P9" s="80">
        <f>Drivers!P20</f>
        <v>38</v>
      </c>
      <c r="Q9" s="80">
        <f>Drivers!Q20</f>
        <v>11</v>
      </c>
      <c r="R9" s="80">
        <f>Drivers!R20</f>
        <v>11</v>
      </c>
      <c r="S9" s="80">
        <f>Drivers!S20</f>
        <v>1</v>
      </c>
      <c r="T9" s="80">
        <f>Drivers!T20</f>
        <v>50</v>
      </c>
      <c r="U9" s="80">
        <f>Drivers!U20</f>
        <v>40</v>
      </c>
      <c r="V9" s="80">
        <f>Drivers!V20</f>
        <v>39</v>
      </c>
      <c r="W9" s="80">
        <f>Drivers!W20</f>
        <v>23</v>
      </c>
      <c r="X9" s="80">
        <f>Drivers!X20</f>
        <v>35</v>
      </c>
      <c r="Y9" s="80">
        <f>Drivers!Y20</f>
        <v>50</v>
      </c>
      <c r="Z9" s="80">
        <f>Drivers!Z20</f>
        <v>36</v>
      </c>
      <c r="AA9" s="80">
        <f>Drivers!AA20</f>
        <v>43</v>
      </c>
      <c r="AB9" s="80">
        <f>Drivers!AB20</f>
        <v>20</v>
      </c>
      <c r="AC9" s="80" t="str">
        <f>Drivers!AC20</f>
        <v/>
      </c>
      <c r="AD9" s="80" t="str">
        <f>Drivers!AD20</f>
        <v/>
      </c>
      <c r="AE9" s="80" t="str">
        <f>Drivers!AE20</f>
        <v/>
      </c>
      <c r="AF9" s="80" t="str">
        <f>Drivers!AF20</f>
        <v/>
      </c>
      <c r="AG9" s="80" t="str">
        <f>Drivers!AG20</f>
        <v/>
      </c>
      <c r="AH9" s="80" t="str">
        <f>Drivers!AH20</f>
        <v/>
      </c>
      <c r="AI9" s="80" t="str">
        <f>Drivers!AI20</f>
        <v/>
      </c>
      <c r="AJ9" s="80" t="str">
        <f>Drivers!AJ20</f>
        <v/>
      </c>
      <c r="AK9" s="80" t="str">
        <f>Drivers!AK20</f>
        <v/>
      </c>
      <c r="AL9" s="80" t="str">
        <f>Drivers!AL20</f>
        <v/>
      </c>
      <c r="AM9" s="81">
        <f>SUM(C11:AL11)</f>
        <v>1427</v>
      </c>
      <c r="AN9" s="82">
        <f>RANK($AM$6:$AM$35,$AM$6:$AM$35,1&gt;10)</f>
        <v>6</v>
      </c>
      <c r="AO9" s="63">
        <f>AVERAGE(C11:AL11)</f>
        <v>39.63888889</v>
      </c>
      <c r="AP9" s="9"/>
      <c r="AQ9" s="76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  <row r="10" ht="12.75" customHeight="1">
      <c r="A10" s="64"/>
      <c r="B10" s="55" t="str">
        <f>Drivers!AR8</f>
        <v>Buscher</v>
      </c>
      <c r="C10" s="65">
        <f>Drivers!C18</f>
        <v>39</v>
      </c>
      <c r="D10" s="65">
        <f>Drivers!D18</f>
        <v>22</v>
      </c>
      <c r="E10" s="65">
        <f>Drivers!E18</f>
        <v>19</v>
      </c>
      <c r="F10" s="65">
        <f>Drivers!F18</f>
        <v>30</v>
      </c>
      <c r="G10" s="65">
        <f>Drivers!G18</f>
        <v>35</v>
      </c>
      <c r="H10" s="65">
        <f>Drivers!H18</f>
        <v>42</v>
      </c>
      <c r="I10" s="65">
        <f>Drivers!I18</f>
        <v>18</v>
      </c>
      <c r="J10" s="65">
        <f>Drivers!J18</f>
        <v>24</v>
      </c>
      <c r="K10" s="65">
        <f>Drivers!K18</f>
        <v>29</v>
      </c>
      <c r="L10" s="65">
        <f>Drivers!L18</f>
        <v>50</v>
      </c>
      <c r="M10" s="65">
        <f>Drivers!M18</f>
        <v>36</v>
      </c>
      <c r="N10" s="65">
        <f>Drivers!N18</f>
        <v>30</v>
      </c>
      <c r="O10" s="65">
        <f>Drivers!O18</f>
        <v>10</v>
      </c>
      <c r="P10" s="65">
        <f>Drivers!P18</f>
        <v>8</v>
      </c>
      <c r="Q10" s="65">
        <f>Drivers!Q18</f>
        <v>31</v>
      </c>
      <c r="R10" s="65">
        <f>Drivers!R18</f>
        <v>37</v>
      </c>
      <c r="S10" s="65">
        <f>Drivers!S18</f>
        <v>39</v>
      </c>
      <c r="T10" s="65">
        <f>Drivers!T18</f>
        <v>18</v>
      </c>
      <c r="U10" s="65">
        <f>Drivers!U18</f>
        <v>23</v>
      </c>
      <c r="V10" s="65">
        <f>Drivers!V18</f>
        <v>27</v>
      </c>
      <c r="W10" s="65">
        <f>Drivers!W18</f>
        <v>17</v>
      </c>
      <c r="X10" s="65">
        <f>Drivers!X18</f>
        <v>28</v>
      </c>
      <c r="Y10" s="65">
        <f>Drivers!Y18</f>
        <v>24</v>
      </c>
      <c r="Z10" s="65">
        <f>Drivers!Z18</f>
        <v>16</v>
      </c>
      <c r="AA10" s="65">
        <f>Drivers!AA18</f>
        <v>23</v>
      </c>
      <c r="AB10" s="65">
        <f>Drivers!AB18</f>
        <v>1</v>
      </c>
      <c r="AC10" s="65" t="str">
        <f>Drivers!AC18</f>
        <v/>
      </c>
      <c r="AD10" s="65" t="str">
        <f>Drivers!AD18</f>
        <v/>
      </c>
      <c r="AE10" s="65" t="str">
        <f>Drivers!AE18</f>
        <v/>
      </c>
      <c r="AF10" s="65" t="str">
        <f>Drivers!AF18</f>
        <v/>
      </c>
      <c r="AG10" s="65" t="str">
        <f>Drivers!AG18</f>
        <v/>
      </c>
      <c r="AH10" s="65" t="str">
        <f>Drivers!AH18</f>
        <v/>
      </c>
      <c r="AI10" s="65" t="str">
        <f>Drivers!AI18</f>
        <v/>
      </c>
      <c r="AJ10" s="65" t="str">
        <f>Drivers!AJ18</f>
        <v/>
      </c>
      <c r="AK10" s="65" t="str">
        <f>Drivers!AK18</f>
        <v/>
      </c>
      <c r="AL10" s="65" t="str">
        <f>Drivers!AL18</f>
        <v/>
      </c>
      <c r="AM10" s="16"/>
      <c r="AN10" s="16"/>
      <c r="AO10" s="16"/>
      <c r="AP10" s="9"/>
      <c r="AQ10" s="76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ht="12.75" customHeight="1">
      <c r="A11" s="68"/>
      <c r="B11" s="85"/>
      <c r="C11" s="86">
        <f t="shared" ref="C11:AL11" si="2">SUM(C9+C10)</f>
        <v>41</v>
      </c>
      <c r="D11" s="86">
        <f t="shared" si="2"/>
        <v>38</v>
      </c>
      <c r="E11" s="86">
        <f t="shared" si="2"/>
        <v>53</v>
      </c>
      <c r="F11" s="86">
        <f t="shared" si="2"/>
        <v>84</v>
      </c>
      <c r="G11" s="86">
        <f t="shared" si="2"/>
        <v>86</v>
      </c>
      <c r="H11" s="86">
        <f t="shared" si="2"/>
        <v>60</v>
      </c>
      <c r="I11" s="86">
        <f t="shared" si="2"/>
        <v>48</v>
      </c>
      <c r="J11" s="86">
        <f t="shared" si="2"/>
        <v>43</v>
      </c>
      <c r="K11" s="86">
        <f t="shared" si="2"/>
        <v>59</v>
      </c>
      <c r="L11" s="87">
        <f t="shared" si="2"/>
        <v>79</v>
      </c>
      <c r="M11" s="86">
        <f t="shared" si="2"/>
        <v>37</v>
      </c>
      <c r="N11" s="86">
        <f t="shared" si="2"/>
        <v>50</v>
      </c>
      <c r="O11" s="86">
        <f t="shared" si="2"/>
        <v>60</v>
      </c>
      <c r="P11" s="86">
        <f t="shared" si="2"/>
        <v>46</v>
      </c>
      <c r="Q11" s="86">
        <f t="shared" si="2"/>
        <v>42</v>
      </c>
      <c r="R11" s="86">
        <f t="shared" si="2"/>
        <v>48</v>
      </c>
      <c r="S11" s="86">
        <f t="shared" si="2"/>
        <v>40</v>
      </c>
      <c r="T11" s="86">
        <f t="shared" si="2"/>
        <v>68</v>
      </c>
      <c r="U11" s="86">
        <f t="shared" si="2"/>
        <v>63</v>
      </c>
      <c r="V11" s="86">
        <f t="shared" si="2"/>
        <v>66</v>
      </c>
      <c r="W11" s="86">
        <f t="shared" si="2"/>
        <v>40</v>
      </c>
      <c r="X11" s="86">
        <f t="shared" si="2"/>
        <v>63</v>
      </c>
      <c r="Y11" s="86">
        <f t="shared" si="2"/>
        <v>74</v>
      </c>
      <c r="Z11" s="86">
        <f t="shared" si="2"/>
        <v>52</v>
      </c>
      <c r="AA11" s="86">
        <f t="shared" si="2"/>
        <v>66</v>
      </c>
      <c r="AB11" s="86">
        <f t="shared" si="2"/>
        <v>21</v>
      </c>
      <c r="AC11" s="87">
        <f t="shared" si="2"/>
        <v>0</v>
      </c>
      <c r="AD11" s="86">
        <f t="shared" si="2"/>
        <v>0</v>
      </c>
      <c r="AE11" s="86">
        <f t="shared" si="2"/>
        <v>0</v>
      </c>
      <c r="AF11" s="86">
        <f t="shared" si="2"/>
        <v>0</v>
      </c>
      <c r="AG11" s="86">
        <f t="shared" si="2"/>
        <v>0</v>
      </c>
      <c r="AH11" s="86">
        <f t="shared" si="2"/>
        <v>0</v>
      </c>
      <c r="AI11" s="86">
        <f t="shared" si="2"/>
        <v>0</v>
      </c>
      <c r="AJ11" s="86">
        <f t="shared" si="2"/>
        <v>0</v>
      </c>
      <c r="AK11" s="86">
        <f t="shared" si="2"/>
        <v>0</v>
      </c>
      <c r="AL11" s="88">
        <f t="shared" si="2"/>
        <v>0</v>
      </c>
      <c r="AM11" s="75"/>
      <c r="AN11" s="75"/>
      <c r="AO11" s="75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</row>
    <row r="12" ht="12.75" customHeight="1">
      <c r="A12" s="78" t="str">
        <f>Drivers!AQ10</f>
        <v>Kevin</v>
      </c>
      <c r="B12" s="79" t="str">
        <f>Drivers!AR10</f>
        <v>Larson</v>
      </c>
      <c r="C12" s="80">
        <f>Drivers!C8</f>
        <v>21</v>
      </c>
      <c r="D12" s="80">
        <f>Drivers!D8</f>
        <v>13</v>
      </c>
      <c r="E12" s="80">
        <f>Drivers!E8</f>
        <v>31</v>
      </c>
      <c r="F12" s="80">
        <f>Drivers!F8</f>
        <v>36</v>
      </c>
      <c r="G12" s="80">
        <f>Drivers!G8</f>
        <v>48</v>
      </c>
      <c r="H12" s="80">
        <f>Drivers!H8</f>
        <v>19</v>
      </c>
      <c r="I12" s="80">
        <f>Drivers!I8</f>
        <v>30</v>
      </c>
      <c r="J12" s="80">
        <f>Drivers!J8</f>
        <v>54</v>
      </c>
      <c r="K12" s="80">
        <f>Drivers!K8</f>
        <v>54</v>
      </c>
      <c r="L12" s="80">
        <f>Drivers!L8</f>
        <v>1</v>
      </c>
      <c r="M12" s="80">
        <f>Drivers!M8</f>
        <v>3</v>
      </c>
      <c r="N12" s="80">
        <f>Drivers!N8</f>
        <v>14</v>
      </c>
      <c r="O12" s="80">
        <f>Drivers!O8</f>
        <v>54</v>
      </c>
      <c r="P12" s="80">
        <f>Drivers!P8</f>
        <v>23</v>
      </c>
      <c r="Q12" s="80">
        <f>Drivers!Q8</f>
        <v>44</v>
      </c>
      <c r="R12" s="80">
        <f>Drivers!R8</f>
        <v>24</v>
      </c>
      <c r="S12" s="80">
        <f>Drivers!S8</f>
        <v>42</v>
      </c>
      <c r="T12" s="80">
        <f>Drivers!T8</f>
        <v>35</v>
      </c>
      <c r="U12" s="80">
        <f>Drivers!U8</f>
        <v>12</v>
      </c>
      <c r="V12" s="80">
        <f>Drivers!V8</f>
        <v>11</v>
      </c>
      <c r="W12" s="80">
        <f>Drivers!W8</f>
        <v>22</v>
      </c>
      <c r="X12" s="80">
        <f>Drivers!X8</f>
        <v>1</v>
      </c>
      <c r="Y12" s="80">
        <f>Drivers!Y8</f>
        <v>12</v>
      </c>
      <c r="Z12" s="80">
        <f>Drivers!Z8</f>
        <v>31</v>
      </c>
      <c r="AA12" s="80">
        <f>Drivers!AA8</f>
        <v>48</v>
      </c>
      <c r="AB12" s="80">
        <f>Drivers!AB8</f>
        <v>16</v>
      </c>
      <c r="AC12" s="80" t="str">
        <f>Drivers!AC8</f>
        <v/>
      </c>
      <c r="AD12" s="80" t="str">
        <f>Drivers!AD8</f>
        <v/>
      </c>
      <c r="AE12" s="80" t="str">
        <f>Drivers!AE8</f>
        <v/>
      </c>
      <c r="AF12" s="80" t="str">
        <f>Drivers!AF8</f>
        <v/>
      </c>
      <c r="AG12" s="80" t="str">
        <f>Drivers!AG8</f>
        <v/>
      </c>
      <c r="AH12" s="80" t="str">
        <f>Drivers!AH8</f>
        <v/>
      </c>
      <c r="AI12" s="80" t="str">
        <f>Drivers!AI8</f>
        <v/>
      </c>
      <c r="AJ12" s="80" t="str">
        <f>Drivers!AJ8</f>
        <v/>
      </c>
      <c r="AK12" s="80" t="str">
        <f>Drivers!AK8</f>
        <v/>
      </c>
      <c r="AL12" s="80" t="str">
        <f>Drivers!AL8</f>
        <v/>
      </c>
      <c r="AM12" s="61">
        <f>SUM(C14:AL14)</f>
        <v>1349</v>
      </c>
      <c r="AN12" s="89">
        <f>RANK($AM$6:$AM$35,$AM$6:$AM$35,1&gt;10)</f>
        <v>7</v>
      </c>
      <c r="AO12" s="63">
        <f>AVERAGE(C14:AL14)</f>
        <v>37.47222222</v>
      </c>
      <c r="AP12" s="9"/>
      <c r="AQ12" s="76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</row>
    <row r="13" ht="12.75" customHeight="1">
      <c r="A13" s="64"/>
      <c r="B13" s="55" t="str">
        <f>Drivers!AR11</f>
        <v>Wallace</v>
      </c>
      <c r="C13" s="65">
        <f>Drivers!C23</f>
        <v>37</v>
      </c>
      <c r="D13" s="65">
        <f>Drivers!D23</f>
        <v>48</v>
      </c>
      <c r="E13" s="65">
        <f>Drivers!E23</f>
        <v>31</v>
      </c>
      <c r="F13" s="65">
        <f>Drivers!F23</f>
        <v>37</v>
      </c>
      <c r="G13" s="65">
        <f>Drivers!G23</f>
        <v>41</v>
      </c>
      <c r="H13" s="65">
        <f>Drivers!H23</f>
        <v>10</v>
      </c>
      <c r="I13" s="65">
        <f>Drivers!I23</f>
        <v>1</v>
      </c>
      <c r="J13" s="65">
        <f>Drivers!J23</f>
        <v>30</v>
      </c>
      <c r="K13" s="65">
        <f>Drivers!K23</f>
        <v>39</v>
      </c>
      <c r="L13" s="65">
        <f>Drivers!L23</f>
        <v>1</v>
      </c>
      <c r="M13" s="65">
        <f>Drivers!M23</f>
        <v>28</v>
      </c>
      <c r="N13" s="65">
        <f>Drivers!N23</f>
        <v>9</v>
      </c>
      <c r="O13" s="65">
        <f>Drivers!O23</f>
        <v>15</v>
      </c>
      <c r="P13" s="65">
        <f>Drivers!P23</f>
        <v>10</v>
      </c>
      <c r="Q13" s="65">
        <f>Drivers!Q23</f>
        <v>40</v>
      </c>
      <c r="R13" s="65">
        <f>Drivers!R23</f>
        <v>16</v>
      </c>
      <c r="S13" s="65">
        <f>Drivers!S23</f>
        <v>35</v>
      </c>
      <c r="T13" s="65">
        <f>Drivers!T23</f>
        <v>15</v>
      </c>
      <c r="U13" s="65">
        <f>Drivers!U23</f>
        <v>40</v>
      </c>
      <c r="V13" s="65">
        <f>Drivers!V23</f>
        <v>9</v>
      </c>
      <c r="W13" s="65">
        <f>Drivers!W23</f>
        <v>38</v>
      </c>
      <c r="X13" s="65">
        <f>Drivers!X23</f>
        <v>9</v>
      </c>
      <c r="Y13" s="65">
        <f>Drivers!Y23</f>
        <v>25</v>
      </c>
      <c r="Z13" s="65">
        <f>Drivers!Z23</f>
        <v>22</v>
      </c>
      <c r="AA13" s="65">
        <f>Drivers!AA23</f>
        <v>43</v>
      </c>
      <c r="AB13" s="65">
        <f>Drivers!AB23</f>
        <v>21</v>
      </c>
      <c r="AC13" s="65" t="str">
        <f>Drivers!AC23</f>
        <v/>
      </c>
      <c r="AD13" s="65" t="str">
        <f>Drivers!AD23</f>
        <v/>
      </c>
      <c r="AE13" s="65" t="str">
        <f>Drivers!AE23</f>
        <v/>
      </c>
      <c r="AF13" s="65" t="str">
        <f>Drivers!AF23</f>
        <v/>
      </c>
      <c r="AG13" s="65" t="str">
        <f>Drivers!AG23</f>
        <v/>
      </c>
      <c r="AH13" s="65" t="str">
        <f>Drivers!AH23</f>
        <v/>
      </c>
      <c r="AI13" s="65" t="str">
        <f>Drivers!AI23</f>
        <v/>
      </c>
      <c r="AJ13" s="65" t="str">
        <f>Drivers!AJ23</f>
        <v/>
      </c>
      <c r="AK13" s="65" t="str">
        <f>Drivers!AK23</f>
        <v/>
      </c>
      <c r="AL13" s="65" t="str">
        <f>Drivers!AL23</f>
        <v/>
      </c>
      <c r="AM13" s="16"/>
      <c r="AN13" s="16"/>
      <c r="AO13" s="16"/>
      <c r="AP13" s="9"/>
      <c r="AQ13" s="76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</row>
    <row r="14" ht="13.5" customHeight="1">
      <c r="A14" s="68"/>
      <c r="B14" s="90"/>
      <c r="C14" s="86">
        <f t="shared" ref="C14:AL14" si="3">SUM(C12+C13)</f>
        <v>58</v>
      </c>
      <c r="D14" s="86">
        <f t="shared" si="3"/>
        <v>61</v>
      </c>
      <c r="E14" s="86">
        <f t="shared" si="3"/>
        <v>62</v>
      </c>
      <c r="F14" s="86">
        <f t="shared" si="3"/>
        <v>73</v>
      </c>
      <c r="G14" s="86">
        <f t="shared" si="3"/>
        <v>89</v>
      </c>
      <c r="H14" s="86">
        <f t="shared" si="3"/>
        <v>29</v>
      </c>
      <c r="I14" s="86">
        <f t="shared" si="3"/>
        <v>31</v>
      </c>
      <c r="J14" s="86">
        <f t="shared" si="3"/>
        <v>84</v>
      </c>
      <c r="K14" s="86">
        <f t="shared" si="3"/>
        <v>93</v>
      </c>
      <c r="L14" s="87">
        <f t="shared" si="3"/>
        <v>2</v>
      </c>
      <c r="M14" s="86">
        <f t="shared" si="3"/>
        <v>31</v>
      </c>
      <c r="N14" s="86">
        <f t="shared" si="3"/>
        <v>23</v>
      </c>
      <c r="O14" s="86">
        <f t="shared" si="3"/>
        <v>69</v>
      </c>
      <c r="P14" s="86">
        <f t="shared" si="3"/>
        <v>33</v>
      </c>
      <c r="Q14" s="86">
        <f t="shared" si="3"/>
        <v>84</v>
      </c>
      <c r="R14" s="86">
        <f t="shared" si="3"/>
        <v>40</v>
      </c>
      <c r="S14" s="86">
        <f t="shared" si="3"/>
        <v>77</v>
      </c>
      <c r="T14" s="86">
        <f t="shared" si="3"/>
        <v>50</v>
      </c>
      <c r="U14" s="86">
        <f t="shared" si="3"/>
        <v>52</v>
      </c>
      <c r="V14" s="86">
        <f t="shared" si="3"/>
        <v>20</v>
      </c>
      <c r="W14" s="86">
        <f t="shared" si="3"/>
        <v>60</v>
      </c>
      <c r="X14" s="86">
        <f t="shared" si="3"/>
        <v>10</v>
      </c>
      <c r="Y14" s="86">
        <f t="shared" si="3"/>
        <v>37</v>
      </c>
      <c r="Z14" s="86">
        <f t="shared" si="3"/>
        <v>53</v>
      </c>
      <c r="AA14" s="86">
        <f t="shared" si="3"/>
        <v>91</v>
      </c>
      <c r="AB14" s="86">
        <f t="shared" si="3"/>
        <v>37</v>
      </c>
      <c r="AC14" s="87">
        <f t="shared" si="3"/>
        <v>0</v>
      </c>
      <c r="AD14" s="86">
        <f t="shared" si="3"/>
        <v>0</v>
      </c>
      <c r="AE14" s="86">
        <f t="shared" si="3"/>
        <v>0</v>
      </c>
      <c r="AF14" s="86">
        <f t="shared" si="3"/>
        <v>0</v>
      </c>
      <c r="AG14" s="86">
        <f t="shared" si="3"/>
        <v>0</v>
      </c>
      <c r="AH14" s="86">
        <f t="shared" si="3"/>
        <v>0</v>
      </c>
      <c r="AI14" s="86">
        <f t="shared" si="3"/>
        <v>0</v>
      </c>
      <c r="AJ14" s="86">
        <f t="shared" si="3"/>
        <v>0</v>
      </c>
      <c r="AK14" s="86">
        <f t="shared" si="3"/>
        <v>0</v>
      </c>
      <c r="AL14" s="88">
        <f t="shared" si="3"/>
        <v>0</v>
      </c>
      <c r="AM14" s="21"/>
      <c r="AN14" s="21"/>
      <c r="AO14" s="75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</row>
    <row r="15" ht="12.75" customHeight="1">
      <c r="A15" s="78" t="str">
        <f>Drivers!AQ13</f>
        <v>Gehr (1)</v>
      </c>
      <c r="B15" s="79" t="str">
        <f>Drivers!AR13</f>
        <v>Byron</v>
      </c>
      <c r="C15" s="80">
        <f>Drivers!C24</f>
        <v>25</v>
      </c>
      <c r="D15" s="80">
        <f>Drivers!D24</f>
        <v>25</v>
      </c>
      <c r="E15" s="80">
        <f>Drivers!E24</f>
        <v>26</v>
      </c>
      <c r="F15" s="80">
        <f>Drivers!F24</f>
        <v>32</v>
      </c>
      <c r="G15" s="80">
        <f>Drivers!G24</f>
        <v>49</v>
      </c>
      <c r="H15" s="80">
        <f>Drivers!H24</f>
        <v>34</v>
      </c>
      <c r="I15" s="80">
        <f>Drivers!I24</f>
        <v>47</v>
      </c>
      <c r="J15" s="80">
        <f>Drivers!J24</f>
        <v>7</v>
      </c>
      <c r="K15" s="80">
        <f>Drivers!K24</f>
        <v>30</v>
      </c>
      <c r="L15" s="80">
        <f>Drivers!L24</f>
        <v>2</v>
      </c>
      <c r="M15" s="80">
        <f>Drivers!M24</f>
        <v>31</v>
      </c>
      <c r="N15" s="80">
        <f>Drivers!N24</f>
        <v>1</v>
      </c>
      <c r="O15" s="80">
        <f>Drivers!O24</f>
        <v>28</v>
      </c>
      <c r="P15" s="80">
        <f>Drivers!P24</f>
        <v>15</v>
      </c>
      <c r="Q15" s="80">
        <f>Drivers!Q24</f>
        <v>25</v>
      </c>
      <c r="R15" s="80">
        <f>Drivers!R24</f>
        <v>38</v>
      </c>
      <c r="S15" s="80">
        <f>Drivers!S24</f>
        <v>6</v>
      </c>
      <c r="T15" s="80">
        <f>Drivers!T24</f>
        <v>25</v>
      </c>
      <c r="U15" s="80">
        <f>Drivers!U24</f>
        <v>53</v>
      </c>
      <c r="V15" s="80">
        <f>Drivers!V24</f>
        <v>21</v>
      </c>
      <c r="W15" s="80">
        <f>Drivers!W24</f>
        <v>26</v>
      </c>
      <c r="X15" s="80">
        <f>Drivers!X24</f>
        <v>22</v>
      </c>
      <c r="Y15" s="80">
        <f>Drivers!Y24</f>
        <v>32</v>
      </c>
      <c r="Z15" s="80">
        <f>Drivers!Z24</f>
        <v>30</v>
      </c>
      <c r="AA15" s="80">
        <f>Drivers!AA24</f>
        <v>14</v>
      </c>
      <c r="AB15" s="80">
        <f>Drivers!AB24</f>
        <v>22</v>
      </c>
      <c r="AC15" s="80" t="str">
        <f>Drivers!AC24</f>
        <v/>
      </c>
      <c r="AD15" s="80" t="str">
        <f>Drivers!AD24</f>
        <v/>
      </c>
      <c r="AE15" s="80" t="str">
        <f>Drivers!AE24</f>
        <v/>
      </c>
      <c r="AF15" s="80" t="str">
        <f>Drivers!AF24</f>
        <v/>
      </c>
      <c r="AG15" s="80" t="str">
        <f>Drivers!AG24</f>
        <v/>
      </c>
      <c r="AH15" s="80" t="str">
        <f>Drivers!AH24</f>
        <v/>
      </c>
      <c r="AI15" s="80" t="str">
        <f>Drivers!AI24</f>
        <v/>
      </c>
      <c r="AJ15" s="80" t="str">
        <f>Drivers!AJ24</f>
        <v/>
      </c>
      <c r="AK15" s="80" t="str">
        <f>Drivers!AK24</f>
        <v/>
      </c>
      <c r="AL15" s="80" t="str">
        <f>Drivers!AL24</f>
        <v/>
      </c>
      <c r="AM15" s="81">
        <f>SUM(C17:AL17)</f>
        <v>1538</v>
      </c>
      <c r="AN15" s="82">
        <f>RANK($AM$6:$AM$35,$AM$6:$AM$35,1&gt;10)</f>
        <v>3</v>
      </c>
      <c r="AO15" s="63">
        <f>AVERAGE(C17:AL17)</f>
        <v>42.72222222</v>
      </c>
      <c r="AP15" s="9"/>
      <c r="AQ15" s="76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</row>
    <row r="16" ht="12.75" customHeight="1">
      <c r="A16" s="64"/>
      <c r="B16" s="83" t="str">
        <f>Drivers!AR14</f>
        <v>Gibbs</v>
      </c>
      <c r="C16" s="65">
        <f>Drivers!C11</f>
        <v>29</v>
      </c>
      <c r="D16" s="65">
        <f>Drivers!D11</f>
        <v>7</v>
      </c>
      <c r="E16" s="65">
        <f>Drivers!E11</f>
        <v>25</v>
      </c>
      <c r="F16" s="65">
        <f>Drivers!F11</f>
        <v>20</v>
      </c>
      <c r="G16" s="65">
        <f>Drivers!G39</f>
        <v>39</v>
      </c>
      <c r="H16" s="65">
        <f>Drivers!H39</f>
        <v>33</v>
      </c>
      <c r="I16" s="65">
        <f>Drivers!I39</f>
        <v>49</v>
      </c>
      <c r="J16" s="65">
        <f>Drivers!J39</f>
        <v>59</v>
      </c>
      <c r="K16" s="65">
        <f>Drivers!K39</f>
        <v>38</v>
      </c>
      <c r="L16" s="65">
        <f>Drivers!L39</f>
        <v>3</v>
      </c>
      <c r="M16" s="65">
        <f>Drivers!M39</f>
        <v>8</v>
      </c>
      <c r="N16" s="65">
        <f>Drivers!N39</f>
        <v>42</v>
      </c>
      <c r="O16" s="65">
        <f>Drivers!O39</f>
        <v>53</v>
      </c>
      <c r="P16" s="65">
        <f>Drivers!P39</f>
        <v>24</v>
      </c>
      <c r="Q16" s="65">
        <f>Drivers!Q39</f>
        <v>21</v>
      </c>
      <c r="R16" s="65">
        <f>Drivers!R39</f>
        <v>36</v>
      </c>
      <c r="S16" s="65">
        <f>Drivers!S39</f>
        <v>29</v>
      </c>
      <c r="T16" s="65">
        <f>Drivers!T39</f>
        <v>54</v>
      </c>
      <c r="U16" s="65">
        <f>Drivers!U39</f>
        <v>38</v>
      </c>
      <c r="V16" s="65">
        <f>Drivers!V39</f>
        <v>38</v>
      </c>
      <c r="W16" s="65">
        <f>Drivers!W39</f>
        <v>43</v>
      </c>
      <c r="X16" s="65">
        <f>Drivers!X39</f>
        <v>43</v>
      </c>
      <c r="Y16" s="65">
        <f>Drivers!Y39</f>
        <v>69</v>
      </c>
      <c r="Z16" s="65">
        <f>Drivers!Z39</f>
        <v>22</v>
      </c>
      <c r="AA16" s="65">
        <f>Drivers!AA39</f>
        <v>38</v>
      </c>
      <c r="AB16" s="65">
        <f>Drivers!AB39</f>
        <v>12</v>
      </c>
      <c r="AC16" s="65" t="str">
        <f>Drivers!AC39</f>
        <v/>
      </c>
      <c r="AD16" s="65" t="str">
        <f>Drivers!AD39</f>
        <v/>
      </c>
      <c r="AE16" s="65" t="str">
        <f>Drivers!AE39</f>
        <v/>
      </c>
      <c r="AF16" s="65" t="str">
        <f>Drivers!AF39</f>
        <v/>
      </c>
      <c r="AG16" s="65" t="str">
        <f>Drivers!AG39</f>
        <v/>
      </c>
      <c r="AH16" s="65" t="str">
        <f>Drivers!AH39</f>
        <v/>
      </c>
      <c r="AI16" s="65" t="str">
        <f>Drivers!AI39</f>
        <v/>
      </c>
      <c r="AJ16" s="65" t="str">
        <f>Drivers!AJ39</f>
        <v/>
      </c>
      <c r="AK16" s="65" t="str">
        <f>Drivers!AK39</f>
        <v/>
      </c>
      <c r="AL16" s="65" t="str">
        <f>Drivers!AL39</f>
        <v/>
      </c>
      <c r="AM16" s="16"/>
      <c r="AN16" s="16"/>
      <c r="AO16" s="16"/>
      <c r="AP16" s="9"/>
      <c r="AQ16" s="76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</row>
    <row r="17" ht="13.5" customHeight="1">
      <c r="A17" s="68"/>
      <c r="B17" s="90"/>
      <c r="C17" s="86">
        <f t="shared" ref="C17:AL17" si="4">SUM(C15+C16)</f>
        <v>54</v>
      </c>
      <c r="D17" s="86">
        <f t="shared" si="4"/>
        <v>32</v>
      </c>
      <c r="E17" s="86">
        <f t="shared" si="4"/>
        <v>51</v>
      </c>
      <c r="F17" s="86">
        <f t="shared" si="4"/>
        <v>52</v>
      </c>
      <c r="G17" s="86">
        <f t="shared" si="4"/>
        <v>88</v>
      </c>
      <c r="H17" s="86">
        <f t="shared" si="4"/>
        <v>67</v>
      </c>
      <c r="I17" s="86">
        <f t="shared" si="4"/>
        <v>96</v>
      </c>
      <c r="J17" s="86">
        <f t="shared" si="4"/>
        <v>66</v>
      </c>
      <c r="K17" s="86">
        <f t="shared" si="4"/>
        <v>68</v>
      </c>
      <c r="L17" s="87">
        <f t="shared" si="4"/>
        <v>5</v>
      </c>
      <c r="M17" s="86">
        <f t="shared" si="4"/>
        <v>39</v>
      </c>
      <c r="N17" s="86">
        <f t="shared" si="4"/>
        <v>43</v>
      </c>
      <c r="O17" s="86">
        <f t="shared" si="4"/>
        <v>81</v>
      </c>
      <c r="P17" s="86">
        <f t="shared" si="4"/>
        <v>39</v>
      </c>
      <c r="Q17" s="86">
        <f t="shared" si="4"/>
        <v>46</v>
      </c>
      <c r="R17" s="86">
        <f t="shared" si="4"/>
        <v>74</v>
      </c>
      <c r="S17" s="86">
        <f t="shared" si="4"/>
        <v>35</v>
      </c>
      <c r="T17" s="86">
        <f t="shared" si="4"/>
        <v>79</v>
      </c>
      <c r="U17" s="86">
        <f t="shared" si="4"/>
        <v>91</v>
      </c>
      <c r="V17" s="86">
        <f t="shared" si="4"/>
        <v>59</v>
      </c>
      <c r="W17" s="86">
        <f t="shared" si="4"/>
        <v>69</v>
      </c>
      <c r="X17" s="86">
        <f t="shared" si="4"/>
        <v>65</v>
      </c>
      <c r="Y17" s="86">
        <f t="shared" si="4"/>
        <v>101</v>
      </c>
      <c r="Z17" s="86">
        <f t="shared" si="4"/>
        <v>52</v>
      </c>
      <c r="AA17" s="86">
        <f t="shared" si="4"/>
        <v>52</v>
      </c>
      <c r="AB17" s="86">
        <f t="shared" si="4"/>
        <v>34</v>
      </c>
      <c r="AC17" s="87">
        <f t="shared" si="4"/>
        <v>0</v>
      </c>
      <c r="AD17" s="86">
        <f t="shared" si="4"/>
        <v>0</v>
      </c>
      <c r="AE17" s="86">
        <f t="shared" si="4"/>
        <v>0</v>
      </c>
      <c r="AF17" s="86">
        <f t="shared" si="4"/>
        <v>0</v>
      </c>
      <c r="AG17" s="86">
        <f t="shared" si="4"/>
        <v>0</v>
      </c>
      <c r="AH17" s="86">
        <f t="shared" si="4"/>
        <v>0</v>
      </c>
      <c r="AI17" s="86">
        <f t="shared" si="4"/>
        <v>0</v>
      </c>
      <c r="AJ17" s="86">
        <f t="shared" si="4"/>
        <v>0</v>
      </c>
      <c r="AK17" s="86">
        <f t="shared" si="4"/>
        <v>0</v>
      </c>
      <c r="AL17" s="88">
        <f t="shared" si="4"/>
        <v>0</v>
      </c>
      <c r="AM17" s="75"/>
      <c r="AN17" s="75"/>
      <c r="AO17" s="75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</row>
    <row r="18" ht="12.75" customHeight="1">
      <c r="A18" s="78" t="str">
        <f>Drivers!AQ16</f>
        <v>Devin  (1)</v>
      </c>
      <c r="B18" s="55" t="str">
        <f>Drivers!AR16</f>
        <v>Hamlin</v>
      </c>
      <c r="C18" s="80">
        <f>Drivers!C14</f>
        <v>6</v>
      </c>
      <c r="D18" s="80">
        <f>Drivers!D14</f>
        <v>24</v>
      </c>
      <c r="E18" s="80">
        <f>Drivers!E14</f>
        <v>28</v>
      </c>
      <c r="F18" s="80">
        <f>Drivers!F14</f>
        <v>47</v>
      </c>
      <c r="G18" s="80">
        <f>Drivers!G14</f>
        <v>70</v>
      </c>
      <c r="H18" s="80">
        <f>Drivers!H14</f>
        <v>26</v>
      </c>
      <c r="I18" s="80">
        <f>Drivers!I14</f>
        <v>56</v>
      </c>
      <c r="J18" s="80">
        <f>Drivers!J14</f>
        <v>41</v>
      </c>
      <c r="K18" s="80">
        <f>Drivers!K14</f>
        <v>52</v>
      </c>
      <c r="L18" s="80">
        <f>Drivers!L14</f>
        <v>22</v>
      </c>
      <c r="M18" s="80">
        <f>Drivers!M14</f>
        <v>43</v>
      </c>
      <c r="N18" s="80">
        <f>Drivers!N14</f>
        <v>21</v>
      </c>
      <c r="O18" s="80">
        <f>Drivers!O14</f>
        <v>60</v>
      </c>
      <c r="P18" s="80">
        <f>Drivers!P14</f>
        <v>62</v>
      </c>
      <c r="Q18" s="80">
        <f>Drivers!Q14</f>
        <v>58</v>
      </c>
      <c r="R18" s="80">
        <f>Drivers!R14</f>
        <v>67</v>
      </c>
      <c r="S18" s="80">
        <f>Drivers!S14</f>
        <v>23</v>
      </c>
      <c r="T18" s="80">
        <f>Drivers!T14</f>
        <v>11</v>
      </c>
      <c r="U18" s="80">
        <f>Drivers!U14</f>
        <v>45</v>
      </c>
      <c r="V18" s="80">
        <f>Drivers!V14</f>
        <v>27</v>
      </c>
      <c r="W18" s="80">
        <f>Drivers!W14</f>
        <v>51</v>
      </c>
      <c r="X18" s="80">
        <f>Drivers!X14</f>
        <v>44</v>
      </c>
      <c r="Y18" s="80">
        <f>Drivers!Y14</f>
        <v>37</v>
      </c>
      <c r="Z18" s="80">
        <f>Drivers!Z14</f>
        <v>46</v>
      </c>
      <c r="AA18" s="80">
        <f>Drivers!AA14</f>
        <v>32</v>
      </c>
      <c r="AB18" s="80">
        <f>Drivers!AB14</f>
        <v>26</v>
      </c>
      <c r="AC18" s="80" t="str">
        <f>Drivers!AC14</f>
        <v/>
      </c>
      <c r="AD18" s="80" t="str">
        <f>Drivers!AD14</f>
        <v/>
      </c>
      <c r="AE18" s="80" t="str">
        <f>Drivers!AE14</f>
        <v/>
      </c>
      <c r="AF18" s="80" t="str">
        <f>Drivers!AF14</f>
        <v/>
      </c>
      <c r="AG18" s="80" t="str">
        <f>Drivers!AG14</f>
        <v/>
      </c>
      <c r="AH18" s="80" t="str">
        <f>Drivers!AH14</f>
        <v/>
      </c>
      <c r="AI18" s="80" t="str">
        <f>Drivers!AI14</f>
        <v/>
      </c>
      <c r="AJ18" s="80" t="str">
        <f>Drivers!AJ14</f>
        <v/>
      </c>
      <c r="AK18" s="80" t="str">
        <f>Drivers!AK14</f>
        <v/>
      </c>
      <c r="AL18" s="80" t="str">
        <f>Drivers!AL14</f>
        <v/>
      </c>
      <c r="AM18" s="81">
        <f>SUM(C20:AL20)</f>
        <v>1638</v>
      </c>
      <c r="AN18" s="89">
        <f>RANK($AM$6:$AM$35,$AM$6:$AM$35,1&gt;10)</f>
        <v>1</v>
      </c>
      <c r="AO18" s="63">
        <f>AVERAGE(C20:AL20)</f>
        <v>45.5</v>
      </c>
      <c r="AP18" s="9"/>
      <c r="AQ18" s="76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  <row r="19" ht="12.75" customHeight="1">
      <c r="A19" s="64"/>
      <c r="B19" s="83" t="str">
        <f>Drivers!AR17</f>
        <v>Hosevar</v>
      </c>
      <c r="C19" s="65">
        <f>Drivers!C36</f>
        <v>3</v>
      </c>
      <c r="D19" s="65">
        <f>Drivers!D36</f>
        <v>14</v>
      </c>
      <c r="E19" s="65">
        <f>Drivers!E36</f>
        <v>5</v>
      </c>
      <c r="F19" s="65">
        <f>Drivers!F42</f>
        <v>21</v>
      </c>
      <c r="G19" s="65">
        <f>Drivers!G42</f>
        <v>15</v>
      </c>
      <c r="H19" s="65">
        <f>Drivers!H42</f>
        <v>33</v>
      </c>
      <c r="I19" s="65">
        <f>Drivers!I42</f>
        <v>20</v>
      </c>
      <c r="J19" s="65">
        <f>Drivers!J42</f>
        <v>38</v>
      </c>
      <c r="K19" s="65">
        <f>Drivers!K42</f>
        <v>28</v>
      </c>
      <c r="L19" s="65">
        <f>Drivers!L42</f>
        <v>55</v>
      </c>
      <c r="M19" s="65">
        <f>Drivers!M42</f>
        <v>41</v>
      </c>
      <c r="N19" s="65">
        <f>Drivers!N42</f>
        <v>9</v>
      </c>
      <c r="O19" s="65">
        <f>Drivers!O42</f>
        <v>14</v>
      </c>
      <c r="P19" s="65">
        <f>Drivers!P42</f>
        <v>27</v>
      </c>
      <c r="Q19" s="65">
        <f>Drivers!Q42</f>
        <v>45</v>
      </c>
      <c r="R19" s="65">
        <f>Drivers!R42</f>
        <v>21</v>
      </c>
      <c r="S19" s="65">
        <f>Drivers!S42</f>
        <v>27</v>
      </c>
      <c r="T19" s="65">
        <f>Drivers!T42</f>
        <v>33</v>
      </c>
      <c r="U19" s="65">
        <f>Drivers!U42</f>
        <v>15</v>
      </c>
      <c r="V19" s="65">
        <f>Drivers!V42</f>
        <v>39</v>
      </c>
      <c r="W19" s="65">
        <f>Drivers!W42</f>
        <v>35</v>
      </c>
      <c r="X19" s="65">
        <f>Drivers!X42</f>
        <v>40</v>
      </c>
      <c r="Y19" s="65">
        <f>Drivers!Y42</f>
        <v>6</v>
      </c>
      <c r="Z19" s="65">
        <f>Drivers!Z42</f>
        <v>1</v>
      </c>
      <c r="AA19" s="65">
        <f>Drivers!AA42</f>
        <v>27</v>
      </c>
      <c r="AB19" s="65">
        <f>Drivers!AB42</f>
        <v>1</v>
      </c>
      <c r="AC19" s="65" t="str">
        <f>Drivers!AC42</f>
        <v/>
      </c>
      <c r="AD19" s="65" t="str">
        <f>Drivers!AD42</f>
        <v/>
      </c>
      <c r="AE19" s="65" t="str">
        <f>Drivers!AE42</f>
        <v/>
      </c>
      <c r="AF19" s="65" t="str">
        <f>Drivers!AF42</f>
        <v/>
      </c>
      <c r="AG19" s="65" t="str">
        <f>Drivers!AG42</f>
        <v/>
      </c>
      <c r="AH19" s="65" t="str">
        <f>Drivers!AH42</f>
        <v/>
      </c>
      <c r="AI19" s="65" t="str">
        <f>Drivers!AI42</f>
        <v/>
      </c>
      <c r="AJ19" s="65" t="str">
        <f>Drivers!AJ42</f>
        <v/>
      </c>
      <c r="AK19" s="65" t="str">
        <f>Drivers!AK42</f>
        <v/>
      </c>
      <c r="AL19" s="65" t="str">
        <f>Drivers!AL42</f>
        <v/>
      </c>
      <c r="AM19" s="16"/>
      <c r="AN19" s="16"/>
      <c r="AO19" s="16"/>
      <c r="AP19" s="9"/>
      <c r="AQ19" s="76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</row>
    <row r="20" ht="13.5" customHeight="1">
      <c r="A20" s="68"/>
      <c r="B20" s="90"/>
      <c r="C20" s="86">
        <f t="shared" ref="C20:AL20" si="5">SUM(C18+C19)</f>
        <v>9</v>
      </c>
      <c r="D20" s="86">
        <f t="shared" si="5"/>
        <v>38</v>
      </c>
      <c r="E20" s="86">
        <f t="shared" si="5"/>
        <v>33</v>
      </c>
      <c r="F20" s="86">
        <f t="shared" si="5"/>
        <v>68</v>
      </c>
      <c r="G20" s="86">
        <f t="shared" si="5"/>
        <v>85</v>
      </c>
      <c r="H20" s="86">
        <f t="shared" si="5"/>
        <v>59</v>
      </c>
      <c r="I20" s="86">
        <f t="shared" si="5"/>
        <v>76</v>
      </c>
      <c r="J20" s="86">
        <f t="shared" si="5"/>
        <v>79</v>
      </c>
      <c r="K20" s="86">
        <f t="shared" si="5"/>
        <v>80</v>
      </c>
      <c r="L20" s="87">
        <f t="shared" si="5"/>
        <v>77</v>
      </c>
      <c r="M20" s="86">
        <f t="shared" si="5"/>
        <v>84</v>
      </c>
      <c r="N20" s="86">
        <f t="shared" si="5"/>
        <v>30</v>
      </c>
      <c r="O20" s="86">
        <f t="shared" si="5"/>
        <v>74</v>
      </c>
      <c r="P20" s="86">
        <f t="shared" si="5"/>
        <v>89</v>
      </c>
      <c r="Q20" s="86">
        <f t="shared" si="5"/>
        <v>103</v>
      </c>
      <c r="R20" s="86">
        <f t="shared" si="5"/>
        <v>88</v>
      </c>
      <c r="S20" s="86">
        <f t="shared" si="5"/>
        <v>50</v>
      </c>
      <c r="T20" s="86">
        <f t="shared" si="5"/>
        <v>44</v>
      </c>
      <c r="U20" s="86">
        <f t="shared" si="5"/>
        <v>60</v>
      </c>
      <c r="V20" s="86">
        <f t="shared" si="5"/>
        <v>66</v>
      </c>
      <c r="W20" s="86">
        <f t="shared" si="5"/>
        <v>86</v>
      </c>
      <c r="X20" s="86">
        <f t="shared" si="5"/>
        <v>84</v>
      </c>
      <c r="Y20" s="86">
        <f t="shared" si="5"/>
        <v>43</v>
      </c>
      <c r="Z20" s="86">
        <f t="shared" si="5"/>
        <v>47</v>
      </c>
      <c r="AA20" s="86">
        <f t="shared" si="5"/>
        <v>59</v>
      </c>
      <c r="AB20" s="86">
        <f t="shared" si="5"/>
        <v>27</v>
      </c>
      <c r="AC20" s="87">
        <f t="shared" si="5"/>
        <v>0</v>
      </c>
      <c r="AD20" s="86">
        <f t="shared" si="5"/>
        <v>0</v>
      </c>
      <c r="AE20" s="86">
        <f t="shared" si="5"/>
        <v>0</v>
      </c>
      <c r="AF20" s="86">
        <f t="shared" si="5"/>
        <v>0</v>
      </c>
      <c r="AG20" s="86">
        <f t="shared" si="5"/>
        <v>0</v>
      </c>
      <c r="AH20" s="86">
        <f t="shared" si="5"/>
        <v>0</v>
      </c>
      <c r="AI20" s="86">
        <f t="shared" si="5"/>
        <v>0</v>
      </c>
      <c r="AJ20" s="86">
        <f t="shared" si="5"/>
        <v>0</v>
      </c>
      <c r="AK20" s="86">
        <f t="shared" si="5"/>
        <v>0</v>
      </c>
      <c r="AL20" s="88">
        <f t="shared" si="5"/>
        <v>0</v>
      </c>
      <c r="AM20" s="75"/>
      <c r="AN20" s="21"/>
      <c r="AO20" s="75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</row>
    <row r="21" ht="12.75" customHeight="1">
      <c r="A21" s="78" t="str">
        <f>Drivers!AQ19</f>
        <v>Jack-n-Bob</v>
      </c>
      <c r="B21" s="79" t="str">
        <f>Drivers!AR19</f>
        <v>Conner Z.</v>
      </c>
      <c r="C21" s="80">
        <f>Drivers!C45</f>
        <v>4</v>
      </c>
      <c r="D21" s="80">
        <f>Drivers!D45</f>
        <v>9</v>
      </c>
      <c r="E21" s="80">
        <f>Drivers!E45</f>
        <v>23</v>
      </c>
      <c r="F21" s="80">
        <f>Drivers!F45</f>
        <v>8</v>
      </c>
      <c r="G21" s="80">
        <f>Drivers!G45</f>
        <v>5</v>
      </c>
      <c r="H21" s="80">
        <f>Drivers!H45</f>
        <v>19</v>
      </c>
      <c r="I21" s="80">
        <f>Drivers!I45</f>
        <v>11</v>
      </c>
      <c r="J21" s="80">
        <f>Drivers!J45</f>
        <v>4</v>
      </c>
      <c r="K21" s="80">
        <f>Drivers!K45</f>
        <v>8</v>
      </c>
      <c r="L21" s="80">
        <f>Drivers!L45</f>
        <v>11</v>
      </c>
      <c r="M21" s="80">
        <f>Drivers!M45</f>
        <v>21</v>
      </c>
      <c r="N21" s="80">
        <f>Drivers!N45</f>
        <v>21</v>
      </c>
      <c r="O21" s="80">
        <f>Drivers!O45</f>
        <v>1</v>
      </c>
      <c r="P21" s="80">
        <f>Drivers!P45</f>
        <v>1</v>
      </c>
      <c r="Q21" s="80">
        <f>Drivers!Q45</f>
        <v>1</v>
      </c>
      <c r="R21" s="80">
        <f>Drivers!R45</f>
        <v>14</v>
      </c>
      <c r="S21" s="80">
        <f>Drivers!S45</f>
        <v>3</v>
      </c>
      <c r="T21" s="80">
        <f>Drivers!T45</f>
        <v>33</v>
      </c>
      <c r="U21" s="80">
        <f>Drivers!U45</f>
        <v>1</v>
      </c>
      <c r="V21" s="80">
        <f>Drivers!V45</f>
        <v>9</v>
      </c>
      <c r="W21" s="80">
        <f>Drivers!W45</f>
        <v>5</v>
      </c>
      <c r="X21" s="80">
        <f>Drivers!X45</f>
        <v>3</v>
      </c>
      <c r="Y21" s="80">
        <f>Drivers!Y45</f>
        <v>29</v>
      </c>
      <c r="Z21" s="80">
        <f>Drivers!Z45</f>
        <v>12</v>
      </c>
      <c r="AA21" s="80">
        <f>Drivers!AA45</f>
        <v>2</v>
      </c>
      <c r="AB21" s="80">
        <f>Drivers!AB45</f>
        <v>12</v>
      </c>
      <c r="AC21" s="80" t="str">
        <f>Drivers!AC45</f>
        <v/>
      </c>
      <c r="AD21" s="80" t="str">
        <f>Drivers!AD45</f>
        <v/>
      </c>
      <c r="AE21" s="80" t="str">
        <f>Drivers!AE45</f>
        <v/>
      </c>
      <c r="AF21" s="80" t="str">
        <f>Drivers!AF45</f>
        <v/>
      </c>
      <c r="AG21" s="80" t="str">
        <f>Drivers!AG45</f>
        <v/>
      </c>
      <c r="AH21" s="80" t="str">
        <f>Drivers!AH45</f>
        <v/>
      </c>
      <c r="AI21" s="80" t="str">
        <f>Drivers!AI45</f>
        <v/>
      </c>
      <c r="AJ21" s="80" t="str">
        <f>Drivers!AJ45</f>
        <v/>
      </c>
      <c r="AK21" s="80" t="str">
        <f>Drivers!AK45</f>
        <v/>
      </c>
      <c r="AL21" s="80" t="str">
        <f>Drivers!AL45</f>
        <v/>
      </c>
      <c r="AM21" s="81">
        <f>SUM(C23:AL23)</f>
        <v>768</v>
      </c>
      <c r="AN21" s="82">
        <f>RANK($AM$6:$AM$35,$AM$6:$AM$35,1&gt;10)</f>
        <v>8</v>
      </c>
      <c r="AO21" s="63">
        <f>AVERAGE(C23:AL23)</f>
        <v>21.33333333</v>
      </c>
      <c r="AP21" s="9"/>
      <c r="AQ21" s="76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</row>
    <row r="22" ht="12.75" customHeight="1">
      <c r="A22" s="64"/>
      <c r="B22" s="55" t="str">
        <f>Drivers!AR20</f>
        <v>E. Jones</v>
      </c>
      <c r="C22" s="65">
        <f>Drivers!C32</f>
        <v>16</v>
      </c>
      <c r="D22" s="65">
        <f>Drivers!D32</f>
        <v>13</v>
      </c>
      <c r="E22" s="65">
        <f>Drivers!E32</f>
        <v>3</v>
      </c>
      <c r="F22" s="65">
        <f>Drivers!F32</f>
        <v>27</v>
      </c>
      <c r="G22" s="65">
        <f>Drivers!G32</f>
        <v>17</v>
      </c>
      <c r="H22" s="65">
        <f>Drivers!H32</f>
        <v>27</v>
      </c>
      <c r="I22" s="65">
        <f>Drivers!I32</f>
        <v>16</v>
      </c>
      <c r="J22" s="65">
        <f>Drivers!J32</f>
        <v>14</v>
      </c>
      <c r="K22" s="65">
        <f>Drivers!K32</f>
        <v>14</v>
      </c>
      <c r="L22" s="65">
        <f>Drivers!L32</f>
        <v>14</v>
      </c>
      <c r="M22" s="65">
        <f>Drivers!M32</f>
        <v>35</v>
      </c>
      <c r="N22" s="65">
        <f>Drivers!N32</f>
        <v>18</v>
      </c>
      <c r="O22" s="65">
        <f>Drivers!O32</f>
        <v>30</v>
      </c>
      <c r="P22" s="65">
        <f>Drivers!P32</f>
        <v>26</v>
      </c>
      <c r="Q22" s="65">
        <f>Drivers!Q32</f>
        <v>44</v>
      </c>
      <c r="R22" s="65">
        <f>Drivers!R32</f>
        <v>41</v>
      </c>
      <c r="S22" s="65">
        <f>Drivers!S32</f>
        <v>17</v>
      </c>
      <c r="T22" s="65">
        <f>Drivers!T32</f>
        <v>17</v>
      </c>
      <c r="U22" s="65">
        <f>Drivers!U32</f>
        <v>22</v>
      </c>
      <c r="V22" s="65">
        <f>Drivers!V32</f>
        <v>35</v>
      </c>
      <c r="W22" s="65">
        <f>Drivers!W32</f>
        <v>16</v>
      </c>
      <c r="X22" s="65">
        <f>Drivers!X32</f>
        <v>12</v>
      </c>
      <c r="Y22" s="65">
        <f>Drivers!Y32</f>
        <v>2</v>
      </c>
      <c r="Z22" s="65">
        <f>Drivers!Z32</f>
        <v>10</v>
      </c>
      <c r="AA22" s="65">
        <f>Drivers!AA32</f>
        <v>4</v>
      </c>
      <c r="AB22" s="65">
        <f>Drivers!AB32</f>
        <v>8</v>
      </c>
      <c r="AC22" s="65" t="str">
        <f>Drivers!AC32</f>
        <v/>
      </c>
      <c r="AD22" s="65" t="str">
        <f>Drivers!AD32</f>
        <v/>
      </c>
      <c r="AE22" s="65" t="str">
        <f>Drivers!AE32</f>
        <v/>
      </c>
      <c r="AF22" s="65" t="str">
        <f>Drivers!AF32</f>
        <v/>
      </c>
      <c r="AG22" s="65" t="str">
        <f>Drivers!AG32</f>
        <v/>
      </c>
      <c r="AH22" s="65" t="str">
        <f>Drivers!AH32</f>
        <v/>
      </c>
      <c r="AI22" s="65" t="str">
        <f>Drivers!AI32</f>
        <v/>
      </c>
      <c r="AJ22" s="65" t="str">
        <f>Drivers!AJ32</f>
        <v/>
      </c>
      <c r="AK22" s="65" t="str">
        <f>Drivers!AK32</f>
        <v/>
      </c>
      <c r="AL22" s="65" t="str">
        <f>Drivers!AL32</f>
        <v/>
      </c>
      <c r="AM22" s="16"/>
      <c r="AN22" s="16"/>
      <c r="AO22" s="16"/>
      <c r="AP22" s="9"/>
      <c r="AQ22" s="76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</row>
    <row r="23" ht="13.5" customHeight="1">
      <c r="A23" s="68"/>
      <c r="B23" s="85"/>
      <c r="C23" s="86">
        <f t="shared" ref="C23:AL23" si="6">SUM(C21+C22)</f>
        <v>20</v>
      </c>
      <c r="D23" s="86">
        <f t="shared" si="6"/>
        <v>22</v>
      </c>
      <c r="E23" s="86">
        <f t="shared" si="6"/>
        <v>26</v>
      </c>
      <c r="F23" s="86">
        <f t="shared" si="6"/>
        <v>35</v>
      </c>
      <c r="G23" s="86">
        <f t="shared" si="6"/>
        <v>22</v>
      </c>
      <c r="H23" s="86">
        <f t="shared" si="6"/>
        <v>46</v>
      </c>
      <c r="I23" s="86">
        <f t="shared" si="6"/>
        <v>27</v>
      </c>
      <c r="J23" s="86">
        <f t="shared" si="6"/>
        <v>18</v>
      </c>
      <c r="K23" s="86">
        <f t="shared" si="6"/>
        <v>22</v>
      </c>
      <c r="L23" s="87">
        <f t="shared" si="6"/>
        <v>25</v>
      </c>
      <c r="M23" s="86">
        <f t="shared" si="6"/>
        <v>56</v>
      </c>
      <c r="N23" s="86">
        <f t="shared" si="6"/>
        <v>39</v>
      </c>
      <c r="O23" s="86">
        <f t="shared" si="6"/>
        <v>31</v>
      </c>
      <c r="P23" s="86">
        <f t="shared" si="6"/>
        <v>27</v>
      </c>
      <c r="Q23" s="86">
        <f t="shared" si="6"/>
        <v>45</v>
      </c>
      <c r="R23" s="86">
        <f t="shared" si="6"/>
        <v>55</v>
      </c>
      <c r="S23" s="86">
        <f t="shared" si="6"/>
        <v>20</v>
      </c>
      <c r="T23" s="86">
        <f t="shared" si="6"/>
        <v>50</v>
      </c>
      <c r="U23" s="86">
        <f t="shared" si="6"/>
        <v>23</v>
      </c>
      <c r="V23" s="86">
        <f t="shared" si="6"/>
        <v>44</v>
      </c>
      <c r="W23" s="86">
        <f t="shared" si="6"/>
        <v>21</v>
      </c>
      <c r="X23" s="86">
        <f t="shared" si="6"/>
        <v>15</v>
      </c>
      <c r="Y23" s="86">
        <f t="shared" si="6"/>
        <v>31</v>
      </c>
      <c r="Z23" s="86">
        <f t="shared" si="6"/>
        <v>22</v>
      </c>
      <c r="AA23" s="86">
        <f t="shared" si="6"/>
        <v>6</v>
      </c>
      <c r="AB23" s="86">
        <f t="shared" si="6"/>
        <v>20</v>
      </c>
      <c r="AC23" s="87">
        <f t="shared" si="6"/>
        <v>0</v>
      </c>
      <c r="AD23" s="86">
        <f t="shared" si="6"/>
        <v>0</v>
      </c>
      <c r="AE23" s="86">
        <f t="shared" si="6"/>
        <v>0</v>
      </c>
      <c r="AF23" s="86">
        <f t="shared" si="6"/>
        <v>0</v>
      </c>
      <c r="AG23" s="86">
        <f t="shared" si="6"/>
        <v>0</v>
      </c>
      <c r="AH23" s="86">
        <f t="shared" si="6"/>
        <v>0</v>
      </c>
      <c r="AI23" s="86">
        <f t="shared" si="6"/>
        <v>0</v>
      </c>
      <c r="AJ23" s="86">
        <f t="shared" si="6"/>
        <v>0</v>
      </c>
      <c r="AK23" s="86">
        <f t="shared" si="6"/>
        <v>0</v>
      </c>
      <c r="AL23" s="88">
        <f t="shared" si="6"/>
        <v>0</v>
      </c>
      <c r="AM23" s="75"/>
      <c r="AN23" s="75"/>
      <c r="AO23" s="75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</row>
    <row r="24" ht="12.75" customHeight="1">
      <c r="A24" s="78" t="str">
        <f>Drivers!AQ22</f>
        <v>Ray (2)</v>
      </c>
      <c r="B24" s="79" t="str">
        <f>Drivers!AR22</f>
        <v>Blaney</v>
      </c>
      <c r="C24" s="80">
        <f>Drivers!C15</f>
        <v>27</v>
      </c>
      <c r="D24" s="80">
        <f>Drivers!D15</f>
        <v>31</v>
      </c>
      <c r="E24" s="80">
        <f>Drivers!E15</f>
        <v>33</v>
      </c>
      <c r="F24" s="80">
        <f>Drivers!F15</f>
        <v>65</v>
      </c>
      <c r="G24" s="80">
        <f>Drivers!G15</f>
        <v>23</v>
      </c>
      <c r="H24" s="80">
        <f>Drivers!H15</f>
        <v>42</v>
      </c>
      <c r="I24" s="80">
        <f>Drivers!I15</f>
        <v>41</v>
      </c>
      <c r="J24" s="80">
        <f>Drivers!J15</f>
        <v>53</v>
      </c>
      <c r="K24" s="80">
        <f>Drivers!K15</f>
        <v>13</v>
      </c>
      <c r="L24" s="80">
        <f>Drivers!L15</f>
        <v>7</v>
      </c>
      <c r="M24" s="80">
        <f>Drivers!M15</f>
        <v>27</v>
      </c>
      <c r="N24" s="80">
        <f>Drivers!N15</f>
        <v>34</v>
      </c>
      <c r="O24" s="80">
        <f>Drivers!O15</f>
        <v>41</v>
      </c>
      <c r="P24" s="80">
        <f>Drivers!P15</f>
        <v>37</v>
      </c>
      <c r="Q24" s="80">
        <f>Drivers!Q15</f>
        <v>29</v>
      </c>
      <c r="R24" s="80">
        <f>Drivers!R15</f>
        <v>27</v>
      </c>
      <c r="S24" s="80">
        <f>Drivers!S15</f>
        <v>44</v>
      </c>
      <c r="T24" s="80">
        <f>Drivers!T15</f>
        <v>32</v>
      </c>
      <c r="U24" s="80">
        <f>Drivers!U15</f>
        <v>36</v>
      </c>
      <c r="V24" s="80">
        <f>Drivers!V15</f>
        <v>75</v>
      </c>
      <c r="W24" s="80">
        <f>Drivers!W15</f>
        <v>29</v>
      </c>
      <c r="X24" s="80">
        <f>Drivers!X15</f>
        <v>11</v>
      </c>
      <c r="Y24" s="80">
        <f>Drivers!Y15</f>
        <v>47</v>
      </c>
      <c r="Z24" s="80">
        <f>Drivers!Z15</f>
        <v>40</v>
      </c>
      <c r="AA24" s="80">
        <f>Drivers!AA15</f>
        <v>70</v>
      </c>
      <c r="AB24" s="80">
        <f>Drivers!AB15</f>
        <v>14</v>
      </c>
      <c r="AC24" s="80" t="str">
        <f>Drivers!AC15</f>
        <v/>
      </c>
      <c r="AD24" s="80" t="str">
        <f>Drivers!AD15</f>
        <v/>
      </c>
      <c r="AE24" s="80" t="str">
        <f>Drivers!AE15</f>
        <v/>
      </c>
      <c r="AF24" s="80" t="str">
        <f>Drivers!AF15</f>
        <v/>
      </c>
      <c r="AG24" s="80" t="str">
        <f>Drivers!AG15</f>
        <v/>
      </c>
      <c r="AH24" s="80" t="str">
        <f>Drivers!AH15</f>
        <v/>
      </c>
      <c r="AI24" s="80" t="str">
        <f>Drivers!AI15</f>
        <v/>
      </c>
      <c r="AJ24" s="80" t="str">
        <f>Drivers!AJ15</f>
        <v/>
      </c>
      <c r="AK24" s="80" t="str">
        <f>Drivers!AK15</f>
        <v/>
      </c>
      <c r="AL24" s="80" t="str">
        <f>Drivers!AL15</f>
        <v/>
      </c>
      <c r="AM24" s="61">
        <f>SUM(C26:AL26)</f>
        <v>1490</v>
      </c>
      <c r="AN24" s="89">
        <f>RANK($AM$6:$AM$35,$AM$6:$AM$35,1&gt;10)</f>
        <v>4</v>
      </c>
      <c r="AO24" s="63">
        <f>AVERAGE(C26:AL26)</f>
        <v>41.38888889</v>
      </c>
      <c r="AP24" s="9"/>
      <c r="AQ24" s="76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ht="12.75" customHeight="1">
      <c r="A25" s="64"/>
      <c r="B25" s="83" t="str">
        <f>Drivers!AR23</f>
        <v>Van Gisbergen</v>
      </c>
      <c r="C25" s="65">
        <f>Drivers!C4</f>
        <v>17</v>
      </c>
      <c r="D25" s="65">
        <f>Drivers!D4</f>
        <v>34</v>
      </c>
      <c r="E25" s="65">
        <f>Drivers!E4</f>
        <v>13</v>
      </c>
      <c r="F25" s="65">
        <f>Drivers!F4</f>
        <v>10</v>
      </c>
      <c r="G25" s="65">
        <f>Drivers!G4</f>
        <v>20</v>
      </c>
      <c r="H25" s="65">
        <f>Drivers!H9</f>
        <v>55</v>
      </c>
      <c r="I25" s="65">
        <f>Drivers!I9</f>
        <v>24</v>
      </c>
      <c r="J25" s="65">
        <f>Drivers!J9</f>
        <v>23</v>
      </c>
      <c r="K25" s="65">
        <f>Drivers!K9</f>
        <v>35</v>
      </c>
      <c r="L25" s="65">
        <f>Drivers!L9</f>
        <v>15</v>
      </c>
      <c r="M25" s="65">
        <f>Drivers!M9</f>
        <v>32</v>
      </c>
      <c r="N25" s="65">
        <f>Drivers!N9</f>
        <v>7</v>
      </c>
      <c r="O25" s="65">
        <f>Drivers!O9</f>
        <v>25</v>
      </c>
      <c r="P25" s="65">
        <f>Drivers!P9</f>
        <v>4</v>
      </c>
      <c r="Q25" s="65">
        <f>Drivers!Q9</f>
        <v>3</v>
      </c>
      <c r="R25" s="65">
        <f>Drivers!R9</f>
        <v>1</v>
      </c>
      <c r="S25" s="65">
        <f>Drivers!S46</f>
        <v>1</v>
      </c>
      <c r="T25" s="65">
        <f>Drivers!T46</f>
        <v>63</v>
      </c>
      <c r="U25" s="65">
        <f>Drivers!U46</f>
        <v>12</v>
      </c>
      <c r="V25" s="65">
        <f>Drivers!V46</f>
        <v>32</v>
      </c>
      <c r="W25" s="65">
        <f>Drivers!W46</f>
        <v>47</v>
      </c>
      <c r="X25" s="65">
        <f>Drivers!X46</f>
        <v>21</v>
      </c>
      <c r="Y25" s="65">
        <f>Drivers!Y46</f>
        <v>7</v>
      </c>
      <c r="Z25" s="65">
        <f>Drivers!Z46</f>
        <v>23</v>
      </c>
      <c r="AA25" s="65">
        <f>Drivers!AA46</f>
        <v>19</v>
      </c>
      <c r="AB25" s="65">
        <f>Drivers!AB46</f>
        <v>19</v>
      </c>
      <c r="AC25" s="65" t="str">
        <f>Drivers!AC46</f>
        <v/>
      </c>
      <c r="AD25" s="65" t="str">
        <f>Drivers!AD46</f>
        <v/>
      </c>
      <c r="AE25" s="65" t="str">
        <f>Drivers!AE46</f>
        <v/>
      </c>
      <c r="AF25" s="65" t="str">
        <f>Drivers!AF46</f>
        <v/>
      </c>
      <c r="AG25" s="65" t="str">
        <f>Drivers!AG46</f>
        <v/>
      </c>
      <c r="AH25" s="65" t="str">
        <f>Drivers!AH46</f>
        <v/>
      </c>
      <c r="AI25" s="65" t="str">
        <f>Drivers!AI46</f>
        <v/>
      </c>
      <c r="AJ25" s="65" t="str">
        <f>Drivers!AJ46</f>
        <v/>
      </c>
      <c r="AK25" s="65" t="str">
        <f>Drivers!AK46</f>
        <v/>
      </c>
      <c r="AL25" s="65" t="str">
        <f>Drivers!AL46</f>
        <v/>
      </c>
      <c r="AM25" s="16"/>
      <c r="AN25" s="16"/>
      <c r="AO25" s="16"/>
      <c r="AP25" s="9"/>
      <c r="AQ25" s="76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</row>
    <row r="26" ht="13.5" customHeight="1">
      <c r="A26" s="68"/>
      <c r="B26" s="90"/>
      <c r="C26" s="86">
        <f t="shared" ref="C26:AL26" si="7">SUM(C24+C25)</f>
        <v>44</v>
      </c>
      <c r="D26" s="86">
        <f t="shared" si="7"/>
        <v>65</v>
      </c>
      <c r="E26" s="86">
        <f t="shared" si="7"/>
        <v>46</v>
      </c>
      <c r="F26" s="86">
        <f t="shared" si="7"/>
        <v>75</v>
      </c>
      <c r="G26" s="86">
        <f t="shared" si="7"/>
        <v>43</v>
      </c>
      <c r="H26" s="86">
        <f t="shared" si="7"/>
        <v>97</v>
      </c>
      <c r="I26" s="86">
        <f t="shared" si="7"/>
        <v>65</v>
      </c>
      <c r="J26" s="86">
        <f t="shared" si="7"/>
        <v>76</v>
      </c>
      <c r="K26" s="86">
        <f t="shared" si="7"/>
        <v>48</v>
      </c>
      <c r="L26" s="87">
        <f t="shared" si="7"/>
        <v>22</v>
      </c>
      <c r="M26" s="86">
        <f t="shared" si="7"/>
        <v>59</v>
      </c>
      <c r="N26" s="86">
        <f t="shared" si="7"/>
        <v>41</v>
      </c>
      <c r="O26" s="86">
        <f t="shared" si="7"/>
        <v>66</v>
      </c>
      <c r="P26" s="86">
        <f t="shared" si="7"/>
        <v>41</v>
      </c>
      <c r="Q26" s="86">
        <f t="shared" si="7"/>
        <v>32</v>
      </c>
      <c r="R26" s="86">
        <f t="shared" si="7"/>
        <v>28</v>
      </c>
      <c r="S26" s="86">
        <f t="shared" si="7"/>
        <v>45</v>
      </c>
      <c r="T26" s="86">
        <f t="shared" si="7"/>
        <v>95</v>
      </c>
      <c r="U26" s="86">
        <f t="shared" si="7"/>
        <v>48</v>
      </c>
      <c r="V26" s="86">
        <f t="shared" si="7"/>
        <v>107</v>
      </c>
      <c r="W26" s="86">
        <f t="shared" si="7"/>
        <v>76</v>
      </c>
      <c r="X26" s="86">
        <f t="shared" si="7"/>
        <v>32</v>
      </c>
      <c r="Y26" s="86">
        <f t="shared" si="7"/>
        <v>54</v>
      </c>
      <c r="Z26" s="86">
        <f t="shared" si="7"/>
        <v>63</v>
      </c>
      <c r="AA26" s="86">
        <f t="shared" si="7"/>
        <v>89</v>
      </c>
      <c r="AB26" s="86">
        <f t="shared" si="7"/>
        <v>33</v>
      </c>
      <c r="AC26" s="87">
        <f t="shared" si="7"/>
        <v>0</v>
      </c>
      <c r="AD26" s="86">
        <f t="shared" si="7"/>
        <v>0</v>
      </c>
      <c r="AE26" s="86">
        <f t="shared" si="7"/>
        <v>0</v>
      </c>
      <c r="AF26" s="86">
        <f t="shared" si="7"/>
        <v>0</v>
      </c>
      <c r="AG26" s="86">
        <f t="shared" si="7"/>
        <v>0</v>
      </c>
      <c r="AH26" s="86">
        <f t="shared" si="7"/>
        <v>0</v>
      </c>
      <c r="AI26" s="86">
        <f t="shared" si="7"/>
        <v>0</v>
      </c>
      <c r="AJ26" s="86">
        <f t="shared" si="7"/>
        <v>0</v>
      </c>
      <c r="AK26" s="86">
        <f t="shared" si="7"/>
        <v>0</v>
      </c>
      <c r="AL26" s="88">
        <f t="shared" si="7"/>
        <v>0</v>
      </c>
      <c r="AM26" s="21"/>
      <c r="AN26" s="21"/>
      <c r="AO26" s="75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</row>
    <row r="27" ht="12.75" customHeight="1">
      <c r="A27" s="78" t="str">
        <f>Drivers!AQ25</f>
        <v>Rob</v>
      </c>
      <c r="B27" s="92" t="str">
        <f>Drivers!AR25</f>
        <v>Elliott</v>
      </c>
      <c r="C27" s="80">
        <f>Drivers!C12</f>
        <v>33</v>
      </c>
      <c r="D27" s="80">
        <f>Drivers!D12</f>
        <v>38</v>
      </c>
      <c r="E27" s="80">
        <f>Drivers!E12</f>
        <v>33</v>
      </c>
      <c r="F27" s="80">
        <f>Drivers!F12</f>
        <v>14</v>
      </c>
      <c r="G27" s="80">
        <f>Drivers!G12</f>
        <v>40</v>
      </c>
      <c r="H27" s="80">
        <f>Drivers!H12</f>
        <v>26</v>
      </c>
      <c r="I27" s="80">
        <f>Drivers!I12</f>
        <v>55</v>
      </c>
      <c r="J27" s="80">
        <f>Drivers!J12</f>
        <v>15</v>
      </c>
      <c r="K27" s="80">
        <f>Drivers!K12</f>
        <v>41</v>
      </c>
      <c r="L27" s="80">
        <f>Drivers!L12</f>
        <v>35</v>
      </c>
      <c r="M27" s="80">
        <f>Drivers!M12</f>
        <v>69</v>
      </c>
      <c r="N27" s="80">
        <f>Drivers!N12</f>
        <v>13</v>
      </c>
      <c r="O27" s="80">
        <f>Drivers!O12</f>
        <v>1</v>
      </c>
      <c r="P27" s="80">
        <f>Drivers!P12</f>
        <v>37</v>
      </c>
      <c r="Q27" s="80">
        <f>Drivers!Q12</f>
        <v>22</v>
      </c>
      <c r="R27" s="80">
        <f>Drivers!R12</f>
        <v>27</v>
      </c>
      <c r="S27" s="80">
        <f>Drivers!S12</f>
        <v>25</v>
      </c>
      <c r="T27" s="80">
        <f>Drivers!T12</f>
        <v>20</v>
      </c>
      <c r="U27" s="80">
        <f>Drivers!U12</f>
        <v>30</v>
      </c>
      <c r="V27" s="80">
        <f>Drivers!V12</f>
        <v>26</v>
      </c>
      <c r="W27" s="80">
        <f>Drivers!W12</f>
        <v>24</v>
      </c>
      <c r="X27" s="80">
        <f>Drivers!X12</f>
        <v>1</v>
      </c>
      <c r="Y27" s="80">
        <f>Drivers!Y12</f>
        <v>22</v>
      </c>
      <c r="Z27" s="80">
        <f>Drivers!Z12</f>
        <v>38</v>
      </c>
      <c r="AA27" s="80">
        <f>Drivers!AA12</f>
        <v>12</v>
      </c>
      <c r="AB27" s="80">
        <f>Drivers!AB12</f>
        <v>16</v>
      </c>
      <c r="AC27" s="80" t="str">
        <f>Drivers!AC12</f>
        <v/>
      </c>
      <c r="AD27" s="80" t="str">
        <f>Drivers!AD12</f>
        <v/>
      </c>
      <c r="AE27" s="80" t="str">
        <f>Drivers!AE12</f>
        <v/>
      </c>
      <c r="AF27" s="80" t="str">
        <f>Drivers!AF12</f>
        <v/>
      </c>
      <c r="AG27" s="80" t="str">
        <f>Drivers!AG12</f>
        <v/>
      </c>
      <c r="AH27" s="80" t="str">
        <f>Drivers!AH12</f>
        <v/>
      </c>
      <c r="AI27" s="80" t="str">
        <f>Drivers!AI12</f>
        <v/>
      </c>
      <c r="AJ27" s="80" t="str">
        <f>Drivers!AJ12</f>
        <v/>
      </c>
      <c r="AK27" s="80" t="str">
        <f>Drivers!AK12</f>
        <v/>
      </c>
      <c r="AL27" s="80" t="str">
        <f>Drivers!AL12</f>
        <v/>
      </c>
      <c r="AM27" s="81">
        <f>SUM(C29:AL29)</f>
        <v>1607</v>
      </c>
      <c r="AN27" s="82">
        <f>RANK($AM$6:$AM$35,$AM$6:$AM$35,1&gt;10)</f>
        <v>2</v>
      </c>
      <c r="AO27" s="63">
        <f>AVERAGE(C29:AL29)</f>
        <v>44.63888889</v>
      </c>
      <c r="AP27" s="9"/>
      <c r="AQ27" s="76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ht="12.75" customHeight="1">
      <c r="A28" s="64"/>
      <c r="B28" s="55" t="str">
        <f>Drivers!AR26</f>
        <v>Reddick</v>
      </c>
      <c r="C28" s="65">
        <f>Drivers!C34</f>
        <v>58</v>
      </c>
      <c r="D28" s="65">
        <f>Drivers!D34</f>
        <v>67</v>
      </c>
      <c r="E28" s="65">
        <f>Drivers!E34</f>
        <v>61</v>
      </c>
      <c r="F28" s="65">
        <f>Drivers!F34</f>
        <v>39</v>
      </c>
      <c r="G28" s="65">
        <f>Drivers!G34</f>
        <v>30</v>
      </c>
      <c r="H28" s="65">
        <f>Drivers!H34</f>
        <v>70</v>
      </c>
      <c r="I28" s="65">
        <f>Drivers!I34</f>
        <v>28</v>
      </c>
      <c r="J28" s="65">
        <f>Drivers!J34</f>
        <v>33</v>
      </c>
      <c r="K28" s="65">
        <f>Drivers!K34</f>
        <v>71</v>
      </c>
      <c r="L28" s="65">
        <f>Drivers!L34</f>
        <v>27</v>
      </c>
      <c r="M28" s="65">
        <f>Drivers!M34</f>
        <v>42</v>
      </c>
      <c r="N28" s="65">
        <f>Drivers!N34</f>
        <v>41</v>
      </c>
      <c r="O28" s="65">
        <f>Drivers!O34</f>
        <v>53</v>
      </c>
      <c r="P28" s="65">
        <f>Drivers!P34</f>
        <v>37</v>
      </c>
      <c r="Q28" s="65">
        <f>Drivers!Q34</f>
        <v>12</v>
      </c>
      <c r="R28" s="65">
        <f>Drivers!R34</f>
        <v>35</v>
      </c>
      <c r="S28" s="65">
        <f>Drivers!S34</f>
        <v>12</v>
      </c>
      <c r="T28" s="65">
        <f>Drivers!T34</f>
        <v>2</v>
      </c>
      <c r="U28" s="65">
        <f>Drivers!U34</f>
        <v>2</v>
      </c>
      <c r="V28" s="65">
        <f>Drivers!V34</f>
        <v>47</v>
      </c>
      <c r="W28" s="65">
        <f>Drivers!W34</f>
        <v>7</v>
      </c>
      <c r="X28" s="65">
        <f>Drivers!X34</f>
        <v>28</v>
      </c>
      <c r="Y28" s="65">
        <f>Drivers!Y34</f>
        <v>1</v>
      </c>
      <c r="Z28" s="65">
        <f>Drivers!Z34</f>
        <v>28</v>
      </c>
      <c r="AA28" s="65">
        <f>Drivers!AA34</f>
        <v>29</v>
      </c>
      <c r="AB28" s="65">
        <f>Drivers!AB34</f>
        <v>34</v>
      </c>
      <c r="AC28" s="65" t="str">
        <f>Drivers!AC34</f>
        <v/>
      </c>
      <c r="AD28" s="65" t="str">
        <f>Drivers!AD34</f>
        <v/>
      </c>
      <c r="AE28" s="65" t="str">
        <f>Drivers!AE34</f>
        <v/>
      </c>
      <c r="AF28" s="65" t="str">
        <f>Drivers!AF34</f>
        <v/>
      </c>
      <c r="AG28" s="65" t="str">
        <f>Drivers!AG34</f>
        <v/>
      </c>
      <c r="AH28" s="65" t="str">
        <f>Drivers!AH34</f>
        <v/>
      </c>
      <c r="AI28" s="65" t="str">
        <f>Drivers!AI34</f>
        <v/>
      </c>
      <c r="AJ28" s="65" t="str">
        <f>Drivers!AJ34</f>
        <v/>
      </c>
      <c r="AK28" s="65" t="str">
        <f>Drivers!AK34</f>
        <v/>
      </c>
      <c r="AL28" s="65" t="str">
        <f>Drivers!AL34</f>
        <v/>
      </c>
      <c r="AM28" s="16"/>
      <c r="AN28" s="16"/>
      <c r="AO28" s="16"/>
      <c r="AP28" s="9"/>
      <c r="AQ28" s="76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ht="13.5" customHeight="1">
      <c r="A29" s="68"/>
      <c r="B29" s="90"/>
      <c r="C29" s="86">
        <f t="shared" ref="C29:AL29" si="8">SUM(C27+C28)</f>
        <v>91</v>
      </c>
      <c r="D29" s="86">
        <f t="shared" si="8"/>
        <v>105</v>
      </c>
      <c r="E29" s="86">
        <f t="shared" si="8"/>
        <v>94</v>
      </c>
      <c r="F29" s="86">
        <f t="shared" si="8"/>
        <v>53</v>
      </c>
      <c r="G29" s="86">
        <f t="shared" si="8"/>
        <v>70</v>
      </c>
      <c r="H29" s="86">
        <f t="shared" si="8"/>
        <v>96</v>
      </c>
      <c r="I29" s="86">
        <f t="shared" si="8"/>
        <v>83</v>
      </c>
      <c r="J29" s="86">
        <f t="shared" si="8"/>
        <v>48</v>
      </c>
      <c r="K29" s="86">
        <f t="shared" si="8"/>
        <v>112</v>
      </c>
      <c r="L29" s="87">
        <f t="shared" si="8"/>
        <v>62</v>
      </c>
      <c r="M29" s="86">
        <f t="shared" si="8"/>
        <v>111</v>
      </c>
      <c r="N29" s="86">
        <f t="shared" si="8"/>
        <v>54</v>
      </c>
      <c r="O29" s="86">
        <f t="shared" si="8"/>
        <v>54</v>
      </c>
      <c r="P29" s="86">
        <f t="shared" si="8"/>
        <v>74</v>
      </c>
      <c r="Q29" s="86">
        <f t="shared" si="8"/>
        <v>34</v>
      </c>
      <c r="R29" s="86">
        <f t="shared" si="8"/>
        <v>62</v>
      </c>
      <c r="S29" s="86">
        <f t="shared" si="8"/>
        <v>37</v>
      </c>
      <c r="T29" s="86">
        <f t="shared" si="8"/>
        <v>22</v>
      </c>
      <c r="U29" s="86">
        <f t="shared" si="8"/>
        <v>32</v>
      </c>
      <c r="V29" s="86">
        <f t="shared" si="8"/>
        <v>73</v>
      </c>
      <c r="W29" s="86">
        <f t="shared" si="8"/>
        <v>31</v>
      </c>
      <c r="X29" s="86">
        <f t="shared" si="8"/>
        <v>29</v>
      </c>
      <c r="Y29" s="86">
        <f t="shared" si="8"/>
        <v>23</v>
      </c>
      <c r="Z29" s="86">
        <f t="shared" si="8"/>
        <v>66</v>
      </c>
      <c r="AA29" s="86">
        <f t="shared" si="8"/>
        <v>41</v>
      </c>
      <c r="AB29" s="86">
        <f t="shared" si="8"/>
        <v>50</v>
      </c>
      <c r="AC29" s="87">
        <f t="shared" si="8"/>
        <v>0</v>
      </c>
      <c r="AD29" s="86">
        <f t="shared" si="8"/>
        <v>0</v>
      </c>
      <c r="AE29" s="86">
        <f t="shared" si="8"/>
        <v>0</v>
      </c>
      <c r="AF29" s="86">
        <f t="shared" si="8"/>
        <v>0</v>
      </c>
      <c r="AG29" s="86">
        <f t="shared" si="8"/>
        <v>0</v>
      </c>
      <c r="AH29" s="86">
        <f t="shared" si="8"/>
        <v>0</v>
      </c>
      <c r="AI29" s="86">
        <f t="shared" si="8"/>
        <v>0</v>
      </c>
      <c r="AJ29" s="86">
        <f t="shared" si="8"/>
        <v>0</v>
      </c>
      <c r="AK29" s="86">
        <f t="shared" si="8"/>
        <v>0</v>
      </c>
      <c r="AL29" s="88">
        <f t="shared" si="8"/>
        <v>0</v>
      </c>
      <c r="AM29" s="21"/>
      <c r="AN29" s="75"/>
      <c r="AO29" s="75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</row>
    <row r="30" ht="12.75" customHeight="1">
      <c r="A30" s="103">
        <f>Drivers!AQ28</f>
        <v>9</v>
      </c>
      <c r="B30" s="79" t="str">
        <f>Drivers!AR28</f>
        <v>A</v>
      </c>
      <c r="C30" s="80"/>
      <c r="D30" s="80"/>
      <c r="E30" s="80"/>
      <c r="F30" s="80"/>
      <c r="G30" s="80"/>
      <c r="H30" s="80"/>
      <c r="I30" s="80"/>
      <c r="J30" s="80"/>
      <c r="K30" s="80"/>
      <c r="L30" s="93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4"/>
      <c r="AE30" s="104"/>
      <c r="AF30" s="106"/>
      <c r="AG30" s="106"/>
      <c r="AH30" s="106"/>
      <c r="AI30" s="106"/>
      <c r="AJ30" s="104"/>
      <c r="AK30" s="104"/>
      <c r="AL30" s="97"/>
      <c r="AM30" s="81">
        <f>SUM(C32:AL32)</f>
        <v>0</v>
      </c>
      <c r="AN30" s="82">
        <f>RANK($AM$6:$AM$35,$AM$6:$AM$35,1&gt;10)</f>
        <v>9</v>
      </c>
      <c r="AO30" s="63">
        <f>AVERAGE(C32:AL32)</f>
        <v>0</v>
      </c>
      <c r="AP30" s="9"/>
      <c r="AQ30" s="76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ht="12.75" customHeight="1">
      <c r="A31" s="64"/>
      <c r="B31" s="55" t="str">
        <f>Drivers!AR29</f>
        <v>B</v>
      </c>
      <c r="C31" s="65"/>
      <c r="D31" s="65"/>
      <c r="E31" s="65"/>
      <c r="F31" s="65"/>
      <c r="G31" s="65"/>
      <c r="H31" s="65"/>
      <c r="I31" s="65"/>
      <c r="J31" s="65"/>
      <c r="K31" s="65"/>
      <c r="L31" s="98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8"/>
      <c r="AD31" s="107"/>
      <c r="AE31" s="107"/>
      <c r="AF31" s="109"/>
      <c r="AG31" s="109"/>
      <c r="AH31" s="109"/>
      <c r="AI31" s="109"/>
      <c r="AJ31" s="107"/>
      <c r="AK31" s="107"/>
      <c r="AL31" s="102"/>
      <c r="AM31" s="16"/>
      <c r="AN31" s="16"/>
      <c r="AO31" s="16"/>
      <c r="AP31" s="9"/>
      <c r="AQ31" s="76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ht="12.75" customHeight="1">
      <c r="A32" s="110"/>
      <c r="B32" s="90"/>
      <c r="C32" s="86">
        <f t="shared" ref="C32:AL32" si="9">SUM(C30+C31)</f>
        <v>0</v>
      </c>
      <c r="D32" s="86">
        <f t="shared" si="9"/>
        <v>0</v>
      </c>
      <c r="E32" s="86">
        <f t="shared" si="9"/>
        <v>0</v>
      </c>
      <c r="F32" s="86">
        <f t="shared" si="9"/>
        <v>0</v>
      </c>
      <c r="G32" s="86">
        <f t="shared" si="9"/>
        <v>0</v>
      </c>
      <c r="H32" s="86">
        <f t="shared" si="9"/>
        <v>0</v>
      </c>
      <c r="I32" s="86">
        <f t="shared" si="9"/>
        <v>0</v>
      </c>
      <c r="J32" s="86">
        <f t="shared" si="9"/>
        <v>0</v>
      </c>
      <c r="K32" s="86">
        <f t="shared" si="9"/>
        <v>0</v>
      </c>
      <c r="L32" s="87">
        <f t="shared" si="9"/>
        <v>0</v>
      </c>
      <c r="M32" s="86">
        <f t="shared" si="9"/>
        <v>0</v>
      </c>
      <c r="N32" s="86">
        <f t="shared" si="9"/>
        <v>0</v>
      </c>
      <c r="O32" s="86">
        <f t="shared" si="9"/>
        <v>0</v>
      </c>
      <c r="P32" s="86">
        <f t="shared" si="9"/>
        <v>0</v>
      </c>
      <c r="Q32" s="86">
        <f t="shared" si="9"/>
        <v>0</v>
      </c>
      <c r="R32" s="86">
        <f t="shared" si="9"/>
        <v>0</v>
      </c>
      <c r="S32" s="86">
        <f t="shared" si="9"/>
        <v>0</v>
      </c>
      <c r="T32" s="86">
        <f t="shared" si="9"/>
        <v>0</v>
      </c>
      <c r="U32" s="86">
        <f t="shared" si="9"/>
        <v>0</v>
      </c>
      <c r="V32" s="86">
        <f t="shared" si="9"/>
        <v>0</v>
      </c>
      <c r="W32" s="86">
        <f t="shared" si="9"/>
        <v>0</v>
      </c>
      <c r="X32" s="86">
        <f t="shared" si="9"/>
        <v>0</v>
      </c>
      <c r="Y32" s="86">
        <f t="shared" si="9"/>
        <v>0</v>
      </c>
      <c r="Z32" s="86">
        <f t="shared" si="9"/>
        <v>0</v>
      </c>
      <c r="AA32" s="86">
        <f t="shared" si="9"/>
        <v>0</v>
      </c>
      <c r="AB32" s="86">
        <f t="shared" si="9"/>
        <v>0</v>
      </c>
      <c r="AC32" s="87">
        <f t="shared" si="9"/>
        <v>0</v>
      </c>
      <c r="AD32" s="86">
        <f t="shared" si="9"/>
        <v>0</v>
      </c>
      <c r="AE32" s="86">
        <f t="shared" si="9"/>
        <v>0</v>
      </c>
      <c r="AF32" s="86">
        <f t="shared" si="9"/>
        <v>0</v>
      </c>
      <c r="AG32" s="86">
        <f t="shared" si="9"/>
        <v>0</v>
      </c>
      <c r="AH32" s="86">
        <f t="shared" si="9"/>
        <v>0</v>
      </c>
      <c r="AI32" s="86">
        <f t="shared" si="9"/>
        <v>0</v>
      </c>
      <c r="AJ32" s="86">
        <f t="shared" si="9"/>
        <v>0</v>
      </c>
      <c r="AK32" s="86">
        <f t="shared" si="9"/>
        <v>0</v>
      </c>
      <c r="AL32" s="88">
        <f t="shared" si="9"/>
        <v>0</v>
      </c>
      <c r="AM32" s="75"/>
      <c r="AN32" s="75"/>
      <c r="AO32" s="75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</row>
    <row r="33" ht="12.75" customHeight="1">
      <c r="A33" s="78">
        <f>Drivers!AQ31</f>
        <v>10</v>
      </c>
      <c r="B33" s="55" t="str">
        <f>Drivers!AR31</f>
        <v>A</v>
      </c>
      <c r="C33" s="57"/>
      <c r="D33" s="57"/>
      <c r="E33" s="57"/>
      <c r="F33" s="57"/>
      <c r="G33" s="57"/>
      <c r="H33" s="57"/>
      <c r="I33" s="57"/>
      <c r="J33" s="57"/>
      <c r="K33" s="57"/>
      <c r="L33" s="111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8"/>
      <c r="AD33" s="107"/>
      <c r="AE33" s="107"/>
      <c r="AF33" s="109"/>
      <c r="AG33" s="109"/>
      <c r="AH33" s="109"/>
      <c r="AI33" s="109"/>
      <c r="AJ33" s="107"/>
      <c r="AK33" s="107"/>
      <c r="AL33" s="102"/>
      <c r="AM33" s="61">
        <f>SUM(C35:AL35)</f>
        <v>0</v>
      </c>
      <c r="AN33" s="82">
        <f>RANK($AM$6:$AM$35,$AM$6:$AM$35,1&gt;10)</f>
        <v>9</v>
      </c>
      <c r="AO33" s="112"/>
      <c r="AP33" s="9"/>
      <c r="AQ33" s="76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</row>
    <row r="34" ht="12.75" customHeight="1">
      <c r="A34" s="64"/>
      <c r="B34" s="55" t="str">
        <f>Drivers!AR32</f>
        <v>B</v>
      </c>
      <c r="C34" s="65"/>
      <c r="D34" s="65"/>
      <c r="E34" s="65"/>
      <c r="F34" s="65"/>
      <c r="G34" s="65"/>
      <c r="H34" s="65"/>
      <c r="I34" s="65"/>
      <c r="J34" s="65"/>
      <c r="K34" s="65"/>
      <c r="L34" s="98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8"/>
      <c r="AD34" s="107"/>
      <c r="AE34" s="107"/>
      <c r="AF34" s="109"/>
      <c r="AG34" s="109"/>
      <c r="AH34" s="109"/>
      <c r="AI34" s="109"/>
      <c r="AJ34" s="107"/>
      <c r="AK34" s="107"/>
      <c r="AL34" s="102"/>
      <c r="AM34" s="16"/>
      <c r="AN34" s="16"/>
      <c r="AO34" s="16"/>
      <c r="AP34" s="9"/>
      <c r="AQ34" s="76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  <row r="35" ht="13.5" customHeight="1">
      <c r="A35" s="68"/>
      <c r="B35" s="113"/>
      <c r="C35" s="114">
        <f t="shared" ref="C35:AL35" si="10">SUM(C33+C34)</f>
        <v>0</v>
      </c>
      <c r="D35" s="114">
        <f t="shared" si="10"/>
        <v>0</v>
      </c>
      <c r="E35" s="114">
        <f t="shared" si="10"/>
        <v>0</v>
      </c>
      <c r="F35" s="114">
        <f t="shared" si="10"/>
        <v>0</v>
      </c>
      <c r="G35" s="114">
        <f t="shared" si="10"/>
        <v>0</v>
      </c>
      <c r="H35" s="114">
        <f t="shared" si="10"/>
        <v>0</v>
      </c>
      <c r="I35" s="114">
        <f t="shared" si="10"/>
        <v>0</v>
      </c>
      <c r="J35" s="114">
        <f t="shared" si="10"/>
        <v>0</v>
      </c>
      <c r="K35" s="114">
        <f t="shared" si="10"/>
        <v>0</v>
      </c>
      <c r="L35" s="115">
        <f t="shared" si="10"/>
        <v>0</v>
      </c>
      <c r="M35" s="114">
        <f t="shared" si="10"/>
        <v>0</v>
      </c>
      <c r="N35" s="114">
        <f t="shared" si="10"/>
        <v>0</v>
      </c>
      <c r="O35" s="114">
        <f t="shared" si="10"/>
        <v>0</v>
      </c>
      <c r="P35" s="114">
        <f t="shared" si="10"/>
        <v>0</v>
      </c>
      <c r="Q35" s="114">
        <f t="shared" si="10"/>
        <v>0</v>
      </c>
      <c r="R35" s="114">
        <f t="shared" si="10"/>
        <v>0</v>
      </c>
      <c r="S35" s="114">
        <f t="shared" si="10"/>
        <v>0</v>
      </c>
      <c r="T35" s="114">
        <f t="shared" si="10"/>
        <v>0</v>
      </c>
      <c r="U35" s="114">
        <f t="shared" si="10"/>
        <v>0</v>
      </c>
      <c r="V35" s="114">
        <f t="shared" si="10"/>
        <v>0</v>
      </c>
      <c r="W35" s="114">
        <f t="shared" si="10"/>
        <v>0</v>
      </c>
      <c r="X35" s="114">
        <f t="shared" si="10"/>
        <v>0</v>
      </c>
      <c r="Y35" s="114">
        <f t="shared" si="10"/>
        <v>0</v>
      </c>
      <c r="Z35" s="114">
        <f t="shared" si="10"/>
        <v>0</v>
      </c>
      <c r="AA35" s="114">
        <f t="shared" si="10"/>
        <v>0</v>
      </c>
      <c r="AB35" s="114">
        <f t="shared" si="10"/>
        <v>0</v>
      </c>
      <c r="AC35" s="115">
        <f t="shared" si="10"/>
        <v>0</v>
      </c>
      <c r="AD35" s="114">
        <f t="shared" si="10"/>
        <v>0</v>
      </c>
      <c r="AE35" s="114">
        <f t="shared" si="10"/>
        <v>0</v>
      </c>
      <c r="AF35" s="114">
        <f t="shared" si="10"/>
        <v>0</v>
      </c>
      <c r="AG35" s="114">
        <f t="shared" si="10"/>
        <v>0</v>
      </c>
      <c r="AH35" s="114">
        <f t="shared" si="10"/>
        <v>0</v>
      </c>
      <c r="AI35" s="114">
        <f t="shared" si="10"/>
        <v>0</v>
      </c>
      <c r="AJ35" s="114">
        <f t="shared" si="10"/>
        <v>0</v>
      </c>
      <c r="AK35" s="114">
        <f t="shared" si="10"/>
        <v>0</v>
      </c>
      <c r="AL35" s="116">
        <f t="shared" si="10"/>
        <v>0</v>
      </c>
      <c r="AM35" s="48"/>
      <c r="AN35" s="48"/>
      <c r="AO35" s="48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</row>
    <row r="36" ht="12.75" customHeight="1">
      <c r="A36" s="117"/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20"/>
      <c r="AG36" s="120"/>
      <c r="AH36" s="120"/>
      <c r="AI36" s="120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</row>
    <row r="37" ht="12.75" customHeight="1">
      <c r="A37" s="121"/>
      <c r="B37" s="118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20"/>
      <c r="AG37" s="120"/>
      <c r="AH37" s="120"/>
      <c r="AI37" s="120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</row>
    <row r="38" ht="12.75" customHeight="1">
      <c r="A38" s="121"/>
      <c r="B38" s="118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2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20"/>
      <c r="AG38" s="120"/>
      <c r="AH38" s="120"/>
      <c r="AI38" s="120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</row>
    <row r="39" ht="12.75" customHeight="1">
      <c r="A39" s="117"/>
      <c r="B39" s="123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20"/>
      <c r="AG39" s="120"/>
      <c r="AH39" s="120"/>
      <c r="AI39" s="120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</row>
    <row r="40" ht="12.75" customHeight="1">
      <c r="A40" s="121"/>
      <c r="B40" s="118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2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20"/>
      <c r="AG40" s="120"/>
      <c r="AH40" s="120"/>
      <c r="AI40" s="120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</row>
    <row r="41" ht="12.75" customHeight="1">
      <c r="A41" s="121"/>
      <c r="B41" s="118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12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20"/>
      <c r="AG41" s="120"/>
      <c r="AH41" s="120"/>
      <c r="AI41" s="120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</row>
    <row r="42" ht="12.75" customHeight="1">
      <c r="A42" s="117"/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2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20"/>
      <c r="AG42" s="120"/>
      <c r="AH42" s="120"/>
      <c r="AI42" s="120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</row>
    <row r="43" ht="12.75" customHeight="1">
      <c r="A43" s="121"/>
      <c r="B43" s="118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12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20"/>
      <c r="AG43" s="120"/>
      <c r="AH43" s="120"/>
      <c r="AI43" s="120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</row>
    <row r="44" ht="12.75" customHeight="1">
      <c r="A44" s="121"/>
      <c r="B44" s="118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20"/>
      <c r="AG44" s="120"/>
      <c r="AH44" s="120"/>
      <c r="AI44" s="120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</row>
    <row r="45" ht="12.75" customHeight="1">
      <c r="A45" s="117"/>
      <c r="B45" s="11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20"/>
      <c r="AG45" s="120"/>
      <c r="AH45" s="120"/>
      <c r="AI45" s="120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</row>
    <row r="46" ht="12.75" customHeight="1">
      <c r="A46" s="121"/>
      <c r="B46" s="118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20"/>
      <c r="AG46" s="120"/>
      <c r="AH46" s="120"/>
      <c r="AI46" s="120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</row>
    <row r="47" ht="12.75" customHeight="1">
      <c r="A47" s="121"/>
      <c r="B47" s="123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20"/>
      <c r="AG47" s="120"/>
      <c r="AH47" s="120"/>
      <c r="AI47" s="120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  <row r="48" ht="12.75" customHeight="1">
      <c r="A48" s="117"/>
      <c r="B48" s="11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20"/>
      <c r="AG48" s="120"/>
      <c r="AH48" s="120"/>
      <c r="AI48" s="120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</row>
    <row r="49" ht="12.75" customHeight="1">
      <c r="A49" s="121"/>
      <c r="B49" s="118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12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20"/>
      <c r="AG49" s="120"/>
      <c r="AH49" s="120"/>
      <c r="AI49" s="120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</row>
    <row r="50" ht="12.75" customHeight="1">
      <c r="A50" s="121"/>
      <c r="B50" s="118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20"/>
      <c r="AG50" s="120"/>
      <c r="AH50" s="120"/>
      <c r="AI50" s="120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</row>
    <row r="51" ht="12.75" customHeight="1">
      <c r="A51" s="117"/>
      <c r="B51" s="123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20"/>
      <c r="AG51" s="120"/>
      <c r="AH51" s="120"/>
      <c r="AI51" s="120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</row>
    <row r="52" ht="12.75" customHeight="1">
      <c r="A52" s="121"/>
      <c r="B52" s="118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20"/>
      <c r="AG52" s="120"/>
      <c r="AH52" s="120"/>
      <c r="AI52" s="120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</row>
    <row r="53" ht="12.75" customHeight="1">
      <c r="A53" s="121"/>
      <c r="B53" s="118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124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20"/>
      <c r="AG53" s="120"/>
      <c r="AH53" s="120"/>
      <c r="AI53" s="120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</row>
    <row r="54" ht="12.75" customHeight="1">
      <c r="A54" s="117"/>
      <c r="B54" s="118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5"/>
      <c r="AG54" s="125"/>
      <c r="AH54" s="125"/>
      <c r="AI54" s="125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</row>
    <row r="55" ht="12.75" customHeight="1">
      <c r="A55" s="121"/>
      <c r="B55" s="118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20"/>
      <c r="AG55" s="120"/>
      <c r="AH55" s="120"/>
      <c r="AI55" s="120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</row>
    <row r="56" ht="12.75" customHeight="1">
      <c r="A56" s="121"/>
      <c r="B56" s="118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20"/>
      <c r="AG56" s="120"/>
      <c r="AH56" s="120"/>
      <c r="AI56" s="120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</row>
    <row r="57" ht="12.75" customHeight="1">
      <c r="A57" s="117"/>
      <c r="B57" s="118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20"/>
      <c r="AG57" s="120"/>
      <c r="AH57" s="120"/>
      <c r="AI57" s="120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</row>
    <row r="58" ht="12.75" customHeight="1">
      <c r="A58" s="121"/>
      <c r="B58" s="118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20"/>
      <c r="AG58" s="120"/>
      <c r="AH58" s="120"/>
      <c r="AI58" s="120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</row>
    <row r="59" ht="12.75" customHeight="1">
      <c r="A59" s="121"/>
      <c r="B59" s="123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20"/>
      <c r="AG59" s="120"/>
      <c r="AH59" s="120"/>
      <c r="AI59" s="120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</row>
    <row r="60" ht="12.75" customHeight="1">
      <c r="A60" s="117"/>
      <c r="B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5"/>
      <c r="AG60" s="125"/>
      <c r="AH60" s="125"/>
      <c r="AI60" s="125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ht="12.75" customHeight="1">
      <c r="A61" s="121"/>
      <c r="B61" s="118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20"/>
      <c r="AG61" s="120"/>
      <c r="AH61" s="120"/>
      <c r="AI61" s="120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</row>
    <row r="62" ht="12.75" customHeight="1">
      <c r="A62" s="121"/>
      <c r="B62" s="118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20"/>
      <c r="AG62" s="120"/>
      <c r="AH62" s="120"/>
      <c r="AI62" s="120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</row>
    <row r="63" ht="12.75" customHeight="1">
      <c r="A63" s="117"/>
      <c r="B63" s="123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5"/>
      <c r="AG63" s="125"/>
      <c r="AH63" s="125"/>
      <c r="AI63" s="125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ht="12.75" customHeight="1">
      <c r="A64" s="121"/>
      <c r="B64" s="118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20"/>
      <c r="AG64" s="120"/>
      <c r="AH64" s="120"/>
      <c r="AI64" s="120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</row>
    <row r="65" ht="12.75" customHeight="1">
      <c r="A65" s="121"/>
      <c r="B65" s="118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122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20"/>
      <c r="AG65" s="120"/>
      <c r="AH65" s="120"/>
      <c r="AI65" s="120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</row>
    <row r="66" ht="12.75" customHeight="1">
      <c r="A66" s="117"/>
      <c r="B66" s="118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5"/>
      <c r="AG66" s="125"/>
      <c r="AH66" s="125"/>
      <c r="AI66" s="125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</row>
    <row r="67" ht="12.75" customHeight="1">
      <c r="A67" s="121"/>
      <c r="B67" s="118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20"/>
      <c r="AG67" s="120"/>
      <c r="AH67" s="120"/>
      <c r="AI67" s="120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</row>
    <row r="68" ht="12.75" customHeight="1">
      <c r="A68" s="121"/>
      <c r="B68" s="118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20"/>
      <c r="AG68" s="120"/>
      <c r="AH68" s="120"/>
      <c r="AI68" s="120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</row>
    <row r="69" ht="12.75" customHeight="1">
      <c r="A69" s="117"/>
      <c r="B69" s="118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5"/>
      <c r="AG69" s="125"/>
      <c r="AH69" s="125"/>
      <c r="AI69" s="125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</row>
    <row r="70" ht="12.75" customHeight="1">
      <c r="A70" s="121"/>
      <c r="B70" s="118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20"/>
      <c r="AG70" s="120"/>
      <c r="AH70" s="120"/>
      <c r="AI70" s="120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</row>
    <row r="71" ht="12.75" customHeight="1">
      <c r="A71" s="121"/>
      <c r="B71" s="118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20"/>
      <c r="AG71" s="120"/>
      <c r="AH71" s="120"/>
      <c r="AI71" s="120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</row>
    <row r="72" ht="12.75" customHeight="1">
      <c r="A72" s="117"/>
      <c r="B72" s="118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5"/>
      <c r="AG72" s="125"/>
      <c r="AH72" s="125"/>
      <c r="AI72" s="125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</row>
    <row r="73" ht="12.75" customHeight="1">
      <c r="A73" s="121"/>
      <c r="B73" s="118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20"/>
      <c r="AG73" s="120"/>
      <c r="AH73" s="120"/>
      <c r="AI73" s="120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</row>
    <row r="74" ht="12.75" customHeight="1">
      <c r="A74" s="121"/>
      <c r="B74" s="123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20"/>
      <c r="AG74" s="120"/>
      <c r="AH74" s="120"/>
      <c r="AI74" s="120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</row>
    <row r="75" ht="12.75" customHeight="1">
      <c r="A75" s="117"/>
      <c r="B75" s="118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5"/>
      <c r="AG75" s="125"/>
      <c r="AH75" s="125"/>
      <c r="AI75" s="125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</row>
    <row r="76" ht="12.75" customHeight="1">
      <c r="A76" s="121"/>
      <c r="B76" s="118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12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20"/>
      <c r="AG76" s="120"/>
      <c r="AH76" s="120"/>
      <c r="AI76" s="120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</row>
    <row r="77" ht="12.75" customHeight="1">
      <c r="A77" s="121"/>
      <c r="B77" s="118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20"/>
      <c r="AG77" s="120"/>
      <c r="AH77" s="120"/>
      <c r="AI77" s="120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</row>
    <row r="78" ht="12.75" customHeight="1">
      <c r="A78" s="117"/>
      <c r="B78" s="123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5"/>
      <c r="AG78" s="125"/>
      <c r="AH78" s="125"/>
      <c r="AI78" s="125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</row>
    <row r="79" ht="12.75" customHeight="1">
      <c r="A79" s="121"/>
      <c r="B79" s="118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0"/>
      <c r="AG79" s="120"/>
      <c r="AH79" s="120"/>
      <c r="AI79" s="120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</row>
    <row r="80" ht="12.75" customHeight="1">
      <c r="A80" s="121"/>
      <c r="B80" s="118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20"/>
      <c r="AG80" s="120"/>
      <c r="AH80" s="120"/>
      <c r="AI80" s="120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</row>
    <row r="81" ht="12.75" customHeight="1">
      <c r="A81" s="117"/>
      <c r="B81" s="118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5"/>
      <c r="AG81" s="125"/>
      <c r="AH81" s="125"/>
      <c r="AI81" s="125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</row>
    <row r="82" ht="12.75" customHeight="1">
      <c r="A82" s="121"/>
      <c r="B82" s="118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12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20"/>
      <c r="AG82" s="120"/>
      <c r="AH82" s="120"/>
      <c r="AI82" s="120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</row>
    <row r="83" ht="12.75" customHeight="1">
      <c r="A83" s="121"/>
      <c r="B83" s="118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20"/>
      <c r="AG83" s="120"/>
      <c r="AH83" s="120"/>
      <c r="AI83" s="120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</row>
    <row r="84" ht="12.75" customHeight="1">
      <c r="A84" s="117"/>
      <c r="B84" s="118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5"/>
      <c r="AG84" s="125"/>
      <c r="AH84" s="125"/>
      <c r="AI84" s="125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</row>
    <row r="85" ht="12.75" customHeight="1">
      <c r="A85" s="121"/>
      <c r="B85" s="118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12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20"/>
      <c r="AG85" s="120"/>
      <c r="AH85" s="120"/>
      <c r="AI85" s="120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</row>
    <row r="86" ht="12.75" customHeight="1">
      <c r="A86" s="121"/>
      <c r="B86" s="118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20"/>
      <c r="AG86" s="120"/>
      <c r="AH86" s="120"/>
      <c r="AI86" s="120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  <row r="87" ht="12.75" customHeight="1">
      <c r="A87" s="117"/>
      <c r="B87" s="118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5"/>
      <c r="AG87" s="125"/>
      <c r="AH87" s="125"/>
      <c r="AI87" s="125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</row>
    <row r="88" ht="12.75" customHeight="1">
      <c r="A88" s="121"/>
      <c r="B88" s="118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20"/>
      <c r="AG88" s="120"/>
      <c r="AH88" s="120"/>
      <c r="AI88" s="120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</row>
    <row r="89" ht="12.75" customHeight="1">
      <c r="A89" s="121"/>
      <c r="B89" s="123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20"/>
      <c r="AG89" s="120"/>
      <c r="AH89" s="120"/>
      <c r="AI89" s="120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</row>
    <row r="90" ht="12.75" customHeight="1">
      <c r="A90" s="117"/>
      <c r="B90" s="118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5"/>
      <c r="AG90" s="125"/>
      <c r="AH90" s="125"/>
      <c r="AI90" s="125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</row>
    <row r="91" ht="12.75" customHeight="1">
      <c r="A91" s="121"/>
      <c r="B91" s="118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20"/>
      <c r="AG91" s="120"/>
      <c r="AH91" s="120"/>
      <c r="AI91" s="120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</row>
    <row r="92" ht="12.75" customHeight="1">
      <c r="A92" s="121"/>
      <c r="B92" s="118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20"/>
      <c r="AG92" s="120"/>
      <c r="AH92" s="120"/>
      <c r="AI92" s="120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</row>
    <row r="93" ht="12.75" customHeight="1">
      <c r="A93" s="117"/>
      <c r="B93" s="123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5"/>
      <c r="AG93" s="125"/>
      <c r="AH93" s="125"/>
      <c r="AI93" s="125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</row>
    <row r="94" ht="12.75" customHeight="1">
      <c r="A94" s="121"/>
      <c r="B94" s="118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20"/>
      <c r="AG94" s="120"/>
      <c r="AH94" s="120"/>
      <c r="AI94" s="120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</row>
    <row r="95" ht="12.75" customHeight="1">
      <c r="A95" s="121"/>
      <c r="B95" s="118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20"/>
      <c r="AG95" s="120"/>
      <c r="AH95" s="120"/>
      <c r="AI95" s="120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</row>
    <row r="96" ht="12.75" customHeight="1">
      <c r="A96" s="117"/>
      <c r="B96" s="118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5"/>
      <c r="AG96" s="125"/>
      <c r="AH96" s="125"/>
      <c r="AI96" s="125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</row>
    <row r="97" ht="12.75" customHeight="1">
      <c r="A97" s="121"/>
      <c r="B97" s="118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20"/>
      <c r="AG97" s="120"/>
      <c r="AH97" s="120"/>
      <c r="AI97" s="120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</row>
    <row r="98" ht="12.75" customHeight="1">
      <c r="A98" s="121"/>
      <c r="B98" s="118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20"/>
      <c r="AG98" s="120"/>
      <c r="AH98" s="120"/>
      <c r="AI98" s="120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</row>
    <row r="99" ht="12.75" customHeight="1">
      <c r="A99" s="117"/>
      <c r="B99" s="118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5"/>
      <c r="AG99" s="125"/>
      <c r="AH99" s="125"/>
      <c r="AI99" s="125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</row>
    <row r="100" ht="12.75" customHeight="1">
      <c r="A100" s="121"/>
      <c r="B100" s="118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20"/>
      <c r="AG100" s="120"/>
      <c r="AH100" s="120"/>
      <c r="AI100" s="120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</row>
    <row r="101" ht="12.75" customHeight="1">
      <c r="A101" s="121"/>
      <c r="B101" s="118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20"/>
      <c r="AG101" s="120"/>
      <c r="AH101" s="120"/>
      <c r="AI101" s="120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</row>
    <row r="102" ht="12.75" customHeight="1">
      <c r="A102" s="117"/>
      <c r="B102" s="118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5"/>
      <c r="AG102" s="125"/>
      <c r="AH102" s="125"/>
      <c r="AI102" s="125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</row>
    <row r="103" ht="12.75" customHeight="1">
      <c r="A103" s="121"/>
      <c r="B103" s="118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20"/>
      <c r="AG103" s="120"/>
      <c r="AH103" s="120"/>
      <c r="AI103" s="120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</row>
    <row r="104" ht="12.75" customHeight="1">
      <c r="A104" s="121"/>
      <c r="B104" s="118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20"/>
      <c r="AG104" s="120"/>
      <c r="AH104" s="120"/>
      <c r="AI104" s="120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</row>
    <row r="105" ht="12.75" customHeight="1">
      <c r="A105" s="117"/>
      <c r="B105" s="118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5"/>
      <c r="AG105" s="125"/>
      <c r="AH105" s="125"/>
      <c r="AI105" s="125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</row>
    <row r="106" ht="12.75" customHeight="1">
      <c r="A106" s="121"/>
      <c r="B106" s="118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20"/>
      <c r="AG106" s="120"/>
      <c r="AH106" s="120"/>
      <c r="AI106" s="120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</row>
    <row r="107" ht="12.75" customHeight="1">
      <c r="A107" s="121"/>
      <c r="B107" s="123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20"/>
      <c r="AG107" s="120"/>
      <c r="AH107" s="120"/>
      <c r="AI107" s="120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</row>
    <row r="108" ht="12.75" customHeight="1">
      <c r="A108" s="117"/>
      <c r="B108" s="118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5"/>
      <c r="AG108" s="125"/>
      <c r="AH108" s="125"/>
      <c r="AI108" s="125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</row>
    <row r="109" ht="12.75" customHeight="1">
      <c r="A109" s="121"/>
      <c r="B109" s="118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20"/>
      <c r="AG109" s="120"/>
      <c r="AH109" s="120"/>
      <c r="AI109" s="120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</row>
    <row r="110" ht="12.75" customHeight="1">
      <c r="A110" s="121"/>
      <c r="B110" s="118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20"/>
      <c r="AG110" s="120"/>
      <c r="AH110" s="120"/>
      <c r="AI110" s="120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</row>
    <row r="111" ht="12.75" customHeight="1">
      <c r="A111" s="117"/>
      <c r="B111" s="123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5"/>
      <c r="AG111" s="125"/>
      <c r="AH111" s="125"/>
      <c r="AI111" s="125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</row>
    <row r="112" ht="12.75" customHeight="1">
      <c r="A112" s="121"/>
      <c r="B112" s="118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20"/>
      <c r="AG112" s="120"/>
      <c r="AH112" s="120"/>
      <c r="AI112" s="120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</row>
    <row r="113" ht="12.75" customHeight="1">
      <c r="A113" s="121"/>
      <c r="B113" s="118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20"/>
      <c r="AG113" s="120"/>
      <c r="AH113" s="120"/>
      <c r="AI113" s="120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</row>
    <row r="114" ht="12.75" customHeight="1">
      <c r="A114" s="117"/>
      <c r="B114" s="118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5"/>
      <c r="AG114" s="125"/>
      <c r="AH114" s="125"/>
      <c r="AI114" s="125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</row>
    <row r="115" ht="12.75" customHeight="1">
      <c r="A115" s="117"/>
      <c r="B115" s="11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5"/>
      <c r="AG115" s="125"/>
      <c r="AH115" s="125"/>
      <c r="AI115" s="125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</row>
    <row r="116" ht="10.5" customHeight="1">
      <c r="A116" s="127"/>
      <c r="B116" s="11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</row>
    <row r="117" ht="12.75" customHeight="1">
      <c r="A117" s="129"/>
      <c r="B117" s="123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20"/>
      <c r="AG117" s="120"/>
      <c r="AH117" s="120"/>
      <c r="AI117" s="120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</row>
    <row r="118" ht="12.75" customHeight="1">
      <c r="A118" s="129"/>
      <c r="B118" s="123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20"/>
      <c r="AG118" s="120"/>
      <c r="AH118" s="120"/>
      <c r="AI118" s="120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</row>
    <row r="119" ht="10.5" customHeight="1">
      <c r="A119" s="130"/>
      <c r="B119" s="123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</row>
    <row r="120" ht="10.5" customHeight="1">
      <c r="A120" s="129"/>
      <c r="B120" s="123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</row>
    <row r="121" ht="10.5" customHeight="1">
      <c r="A121" s="121"/>
      <c r="B121" s="118"/>
      <c r="C121" s="132"/>
      <c r="D121" s="4"/>
      <c r="E121" s="4"/>
      <c r="F121" s="4"/>
      <c r="G121" s="4"/>
      <c r="H121" s="4"/>
      <c r="I121" s="4"/>
      <c r="J121" s="4"/>
      <c r="K121" s="4"/>
      <c r="L121" s="2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</row>
    <row r="122" ht="10.5" customHeight="1">
      <c r="A122" s="127"/>
      <c r="B122" s="118"/>
      <c r="C122" s="133"/>
      <c r="D122" s="134"/>
      <c r="E122" s="134"/>
      <c r="F122" s="134"/>
      <c r="G122" s="134"/>
      <c r="H122" s="134"/>
      <c r="I122" s="134"/>
      <c r="J122" s="134"/>
      <c r="K122" s="134"/>
      <c r="L122" s="135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</row>
    <row r="123" ht="10.5" customHeight="1">
      <c r="A123" s="121"/>
      <c r="B123" s="118"/>
      <c r="C123" s="136"/>
      <c r="D123" s="136"/>
      <c r="E123" s="137"/>
      <c r="F123" s="136"/>
      <c r="G123" s="136"/>
      <c r="H123" s="136"/>
      <c r="I123" s="136"/>
      <c r="J123" s="136"/>
      <c r="K123" s="136"/>
      <c r="L123" s="13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</row>
    <row r="124" ht="10.5" customHeight="1">
      <c r="A124" s="121"/>
      <c r="B124" s="118"/>
      <c r="C124" s="137"/>
      <c r="D124" s="128"/>
      <c r="E124" s="128"/>
      <c r="F124" s="128"/>
      <c r="G124" s="137"/>
      <c r="H124" s="137"/>
      <c r="I124" s="12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</row>
    <row r="125" ht="10.5" customHeight="1">
      <c r="A125" s="121"/>
      <c r="B125" s="118"/>
      <c r="C125" s="137"/>
      <c r="D125" s="128"/>
      <c r="E125" s="128"/>
      <c r="F125" s="128"/>
      <c r="G125" s="9"/>
      <c r="H125" s="128"/>
      <c r="I125" s="12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</row>
    <row r="126" ht="10.5" customHeight="1">
      <c r="A126" s="127"/>
      <c r="B126" s="118"/>
      <c r="C126" s="9"/>
      <c r="D126" s="128"/>
      <c r="E126" s="128"/>
      <c r="F126" s="128"/>
      <c r="G126" s="9"/>
      <c r="H126" s="128"/>
      <c r="I126" s="12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</row>
    <row r="127" ht="10.5" customHeight="1">
      <c r="A127" s="127"/>
      <c r="B127" s="118"/>
      <c r="C127" s="138"/>
      <c r="D127" s="138"/>
      <c r="E127" s="137"/>
      <c r="F127" s="138"/>
      <c r="G127" s="138"/>
      <c r="H127" s="138"/>
      <c r="I127" s="138"/>
      <c r="J127" s="138"/>
      <c r="K127" s="138"/>
      <c r="L127" s="13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</row>
    <row r="128" ht="10.5" customHeight="1">
      <c r="A128" s="127"/>
      <c r="B128" s="11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</row>
    <row r="129" ht="10.5" customHeight="1">
      <c r="A129" s="127"/>
      <c r="B129" s="118"/>
      <c r="C129" s="9"/>
      <c r="D129" s="128"/>
      <c r="E129" s="128"/>
      <c r="F129" s="128"/>
      <c r="G129" s="9"/>
      <c r="H129" s="128"/>
      <c r="I129" s="12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</row>
    <row r="130" ht="10.5" customHeight="1">
      <c r="A130" s="127"/>
      <c r="B130" s="118"/>
      <c r="C130" s="9"/>
      <c r="D130" s="128"/>
      <c r="E130" s="137"/>
      <c r="F130" s="128"/>
      <c r="G130" s="9"/>
      <c r="H130" s="128"/>
      <c r="I130" s="128"/>
      <c r="J130" s="13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</row>
    <row r="131" ht="10.5" customHeight="1">
      <c r="A131" s="127"/>
      <c r="B131" s="118"/>
      <c r="C131" s="9"/>
      <c r="D131" s="128"/>
      <c r="E131" s="9"/>
      <c r="F131" s="128"/>
      <c r="G131" s="9"/>
      <c r="H131" s="128"/>
      <c r="I131" s="12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</row>
    <row r="132" ht="10.5" customHeight="1">
      <c r="A132" s="127"/>
      <c r="B132" s="118"/>
      <c r="C132" s="9"/>
      <c r="D132" s="128"/>
      <c r="E132" s="9"/>
      <c r="F132" s="128"/>
      <c r="G132" s="9"/>
      <c r="H132" s="128"/>
      <c r="I132" s="12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</row>
    <row r="133" ht="10.5" customHeight="1">
      <c r="A133" s="127"/>
      <c r="B133" s="118"/>
      <c r="C133" s="137"/>
      <c r="D133" s="128"/>
      <c r="E133" s="9"/>
      <c r="F133" s="128"/>
      <c r="G133" s="9"/>
      <c r="H133" s="128"/>
      <c r="I133" s="12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</row>
    <row r="134" ht="10.5" customHeight="1">
      <c r="A134" s="127"/>
      <c r="B134" s="118"/>
      <c r="C134" s="9"/>
      <c r="D134" s="128"/>
      <c r="E134" s="9"/>
      <c r="F134" s="128"/>
      <c r="G134" s="9"/>
      <c r="H134" s="128"/>
      <c r="I134" s="12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</row>
    <row r="135" ht="10.5" customHeight="1">
      <c r="A135" s="127"/>
      <c r="B135" s="118"/>
      <c r="C135" s="9"/>
      <c r="D135" s="128"/>
      <c r="E135" s="9"/>
      <c r="F135" s="128"/>
      <c r="G135" s="9"/>
      <c r="H135" s="128"/>
      <c r="I135" s="12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</row>
    <row r="136" ht="10.5" customHeight="1">
      <c r="A136" s="127"/>
      <c r="B136" s="118"/>
      <c r="C136" s="9"/>
      <c r="D136" s="128"/>
      <c r="E136" s="9"/>
      <c r="F136" s="128"/>
      <c r="G136" s="9"/>
      <c r="H136" s="128"/>
      <c r="I136" s="12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</row>
    <row r="137" ht="10.5" customHeight="1">
      <c r="A137" s="127"/>
      <c r="B137" s="118"/>
      <c r="C137" s="9"/>
      <c r="D137" s="128"/>
      <c r="E137" s="128"/>
      <c r="F137" s="128"/>
      <c r="G137" s="9"/>
      <c r="H137" s="128"/>
      <c r="I137" s="12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</row>
    <row r="138" ht="10.5" customHeight="1">
      <c r="A138" s="127"/>
      <c r="B138" s="118"/>
      <c r="C138" s="9"/>
      <c r="D138" s="128"/>
      <c r="E138" s="128"/>
      <c r="F138" s="128"/>
      <c r="G138" s="9"/>
      <c r="H138" s="128"/>
      <c r="I138" s="12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</row>
    <row r="139" ht="10.5" customHeight="1">
      <c r="A139" s="127"/>
      <c r="B139" s="118"/>
      <c r="C139" s="9"/>
      <c r="D139" s="128"/>
      <c r="E139" s="128"/>
      <c r="F139" s="128"/>
      <c r="G139" s="9"/>
      <c r="H139" s="128"/>
      <c r="I139" s="12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</row>
    <row r="140" ht="10.5" customHeight="1">
      <c r="A140" s="127"/>
      <c r="B140" s="118"/>
      <c r="C140" s="9"/>
      <c r="D140" s="128"/>
      <c r="E140" s="128"/>
      <c r="F140" s="128"/>
      <c r="G140" s="9"/>
      <c r="H140" s="128"/>
      <c r="I140" s="12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</row>
    <row r="141" ht="10.5" customHeight="1">
      <c r="A141" s="127"/>
      <c r="B141" s="118"/>
      <c r="C141" s="9"/>
      <c r="D141" s="128"/>
      <c r="E141" s="128"/>
      <c r="F141" s="128"/>
      <c r="G141" s="9"/>
      <c r="H141" s="128"/>
      <c r="I141" s="12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</row>
    <row r="142" ht="10.5" customHeight="1">
      <c r="A142" s="127"/>
      <c r="B142" s="118"/>
      <c r="C142" s="9"/>
      <c r="D142" s="128"/>
      <c r="E142" s="128"/>
      <c r="F142" s="128"/>
      <c r="G142" s="9"/>
      <c r="H142" s="128"/>
      <c r="I142" s="12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</row>
    <row r="143" ht="10.5" customHeight="1">
      <c r="A143" s="127"/>
      <c r="B143" s="118"/>
      <c r="C143" s="9"/>
      <c r="D143" s="128"/>
      <c r="E143" s="128"/>
      <c r="F143" s="128"/>
      <c r="G143" s="9"/>
      <c r="H143" s="128"/>
      <c r="I143" s="12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</row>
    <row r="144" ht="10.5" customHeight="1">
      <c r="A144" s="127"/>
      <c r="B144" s="118"/>
      <c r="C144" s="128"/>
      <c r="D144" s="128"/>
      <c r="E144" s="128"/>
      <c r="F144" s="128"/>
      <c r="G144" s="9"/>
      <c r="H144" s="128"/>
      <c r="I144" s="12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</row>
    <row r="145" ht="10.5" customHeight="1">
      <c r="A145" s="127"/>
      <c r="B145" s="118"/>
      <c r="C145" s="128"/>
      <c r="D145" s="128"/>
      <c r="E145" s="128"/>
      <c r="F145" s="128"/>
      <c r="G145" s="9"/>
      <c r="H145" s="128"/>
      <c r="I145" s="12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</row>
    <row r="146" ht="10.5" customHeight="1">
      <c r="A146" s="127"/>
      <c r="B146" s="118"/>
      <c r="C146" s="128"/>
      <c r="D146" s="128"/>
      <c r="E146" s="128"/>
      <c r="F146" s="128"/>
      <c r="G146" s="9"/>
      <c r="H146" s="128"/>
      <c r="I146" s="12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</row>
    <row r="147" ht="10.5" customHeight="1">
      <c r="A147" s="127"/>
      <c r="B147" s="118"/>
      <c r="C147" s="128"/>
      <c r="D147" s="128"/>
      <c r="E147" s="128"/>
      <c r="F147" s="128"/>
      <c r="G147" s="9"/>
      <c r="H147" s="128"/>
      <c r="I147" s="12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</row>
    <row r="148" ht="10.5" customHeight="1">
      <c r="A148" s="127"/>
      <c r="B148" s="118"/>
      <c r="C148" s="128"/>
      <c r="D148" s="128"/>
      <c r="E148" s="128"/>
      <c r="F148" s="128"/>
      <c r="G148" s="9"/>
      <c r="H148" s="128"/>
      <c r="I148" s="12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</row>
    <row r="149" ht="10.5" customHeight="1">
      <c r="A149" s="127"/>
      <c r="B149" s="118"/>
      <c r="C149" s="128"/>
      <c r="D149" s="128"/>
      <c r="E149" s="128"/>
      <c r="F149" s="128"/>
      <c r="G149" s="128"/>
      <c r="H149" s="128"/>
      <c r="I149" s="12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</row>
    <row r="150" ht="10.5" customHeight="1">
      <c r="A150" s="127"/>
      <c r="B150" s="118"/>
      <c r="C150" s="128"/>
      <c r="D150" s="128"/>
      <c r="E150" s="128"/>
      <c r="F150" s="128"/>
      <c r="G150" s="128"/>
      <c r="H150" s="128"/>
      <c r="I150" s="12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</row>
    <row r="151" ht="10.5" customHeight="1">
      <c r="A151" s="127"/>
      <c r="B151" s="118"/>
      <c r="C151" s="128"/>
      <c r="D151" s="128"/>
      <c r="E151" s="128"/>
      <c r="F151" s="128"/>
      <c r="G151" s="128"/>
      <c r="H151" s="128"/>
      <c r="I151" s="12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</row>
    <row r="152" ht="10.5" customHeight="1">
      <c r="A152" s="127"/>
      <c r="B152" s="118"/>
      <c r="C152" s="128"/>
      <c r="D152" s="128"/>
      <c r="E152" s="128"/>
      <c r="F152" s="128"/>
      <c r="G152" s="128"/>
      <c r="H152" s="128"/>
      <c r="I152" s="12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</row>
    <row r="153" ht="10.5" customHeight="1">
      <c r="A153" s="127"/>
      <c r="B153" s="118"/>
      <c r="C153" s="128"/>
      <c r="D153" s="128"/>
      <c r="E153" s="128"/>
      <c r="F153" s="128"/>
      <c r="G153" s="128"/>
      <c r="H153" s="128"/>
      <c r="I153" s="12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</row>
    <row r="154" ht="10.5" customHeight="1">
      <c r="A154" s="127"/>
      <c r="B154" s="118"/>
      <c r="C154" s="128"/>
      <c r="D154" s="128"/>
      <c r="E154" s="128"/>
      <c r="F154" s="128"/>
      <c r="G154" s="128"/>
      <c r="H154" s="128"/>
      <c r="I154" s="12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</row>
    <row r="155" ht="10.5" customHeight="1">
      <c r="A155" s="127"/>
      <c r="B155" s="118"/>
      <c r="C155" s="128"/>
      <c r="D155" s="128"/>
      <c r="E155" s="128"/>
      <c r="F155" s="128"/>
      <c r="G155" s="128"/>
      <c r="H155" s="128"/>
      <c r="I155" s="12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</row>
    <row r="156" ht="10.5" customHeight="1">
      <c r="A156" s="127"/>
      <c r="B156" s="118"/>
      <c r="C156" s="128"/>
      <c r="D156" s="128"/>
      <c r="E156" s="128"/>
      <c r="F156" s="128"/>
      <c r="G156" s="128"/>
      <c r="H156" s="128"/>
      <c r="I156" s="12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</row>
    <row r="157" ht="10.5" customHeight="1">
      <c r="A157" s="127"/>
      <c r="B157" s="118"/>
      <c r="C157" s="128"/>
      <c r="D157" s="128"/>
      <c r="E157" s="128"/>
      <c r="F157" s="128"/>
      <c r="G157" s="128"/>
      <c r="H157" s="128"/>
      <c r="I157" s="12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</row>
    <row r="158" ht="10.5" customHeight="1">
      <c r="A158" s="127"/>
      <c r="B158" s="118"/>
      <c r="C158" s="128"/>
      <c r="D158" s="128"/>
      <c r="E158" s="128"/>
      <c r="F158" s="128"/>
      <c r="G158" s="128"/>
      <c r="H158" s="128"/>
      <c r="I158" s="12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</row>
    <row r="159" ht="10.5" customHeight="1">
      <c r="A159" s="127"/>
      <c r="B159" s="118"/>
      <c r="C159" s="128"/>
      <c r="D159" s="128"/>
      <c r="E159" s="128"/>
      <c r="F159" s="128"/>
      <c r="G159" s="128"/>
      <c r="H159" s="128"/>
      <c r="I159" s="12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</row>
    <row r="160" ht="10.5" customHeight="1">
      <c r="A160" s="127"/>
      <c r="B160" s="118"/>
      <c r="C160" s="128"/>
      <c r="D160" s="128"/>
      <c r="E160" s="128"/>
      <c r="F160" s="128"/>
      <c r="G160" s="128"/>
      <c r="H160" s="128"/>
      <c r="I160" s="12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</row>
    <row r="161" ht="10.5" customHeight="1">
      <c r="A161" s="127"/>
      <c r="B161" s="118"/>
      <c r="C161" s="128"/>
      <c r="D161" s="128"/>
      <c r="E161" s="128"/>
      <c r="F161" s="128"/>
      <c r="G161" s="128"/>
      <c r="H161" s="128"/>
      <c r="I161" s="12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</row>
    <row r="162" ht="10.5" customHeight="1">
      <c r="A162" s="127"/>
      <c r="B162" s="118"/>
      <c r="C162" s="128"/>
      <c r="D162" s="128"/>
      <c r="E162" s="128"/>
      <c r="F162" s="128"/>
      <c r="G162" s="128"/>
      <c r="H162" s="128"/>
      <c r="I162" s="12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</row>
    <row r="163" ht="10.5" customHeight="1">
      <c r="A163" s="127"/>
      <c r="B163" s="118"/>
      <c r="C163" s="128"/>
      <c r="D163" s="128"/>
      <c r="E163" s="128"/>
      <c r="F163" s="128"/>
      <c r="G163" s="128"/>
      <c r="H163" s="128"/>
      <c r="I163" s="12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</row>
    <row r="164" ht="10.5" customHeight="1">
      <c r="A164" s="127"/>
      <c r="B164" s="118"/>
      <c r="C164" s="128"/>
      <c r="D164" s="128"/>
      <c r="E164" s="128"/>
      <c r="F164" s="128"/>
      <c r="G164" s="128"/>
      <c r="H164" s="128"/>
      <c r="I164" s="12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</row>
    <row r="165" ht="10.5" customHeight="1">
      <c r="A165" s="127"/>
      <c r="B165" s="118"/>
      <c r="C165" s="128"/>
      <c r="D165" s="128"/>
      <c r="E165" s="128"/>
      <c r="F165" s="128"/>
      <c r="G165" s="128"/>
      <c r="H165" s="128"/>
      <c r="I165" s="12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</row>
    <row r="166" ht="10.5" customHeight="1">
      <c r="A166" s="127"/>
      <c r="B166" s="118"/>
      <c r="C166" s="128"/>
      <c r="D166" s="128"/>
      <c r="E166" s="128"/>
      <c r="F166" s="128"/>
      <c r="G166" s="128"/>
      <c r="H166" s="128"/>
      <c r="I166" s="12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</row>
    <row r="167" ht="10.5" customHeight="1">
      <c r="A167" s="127"/>
      <c r="B167" s="118"/>
      <c r="C167" s="128"/>
      <c r="D167" s="128"/>
      <c r="E167" s="128"/>
      <c r="F167" s="128"/>
      <c r="G167" s="128"/>
      <c r="H167" s="128"/>
      <c r="I167" s="12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</row>
    <row r="168" ht="10.5" customHeight="1">
      <c r="A168" s="127"/>
      <c r="B168" s="118"/>
      <c r="C168" s="128"/>
      <c r="D168" s="128"/>
      <c r="E168" s="128"/>
      <c r="F168" s="128"/>
      <c r="G168" s="128"/>
      <c r="H168" s="128"/>
      <c r="I168" s="12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</row>
    <row r="169" ht="10.5" customHeight="1">
      <c r="A169" s="127"/>
      <c r="B169" s="118"/>
      <c r="C169" s="128"/>
      <c r="D169" s="128"/>
      <c r="E169" s="128"/>
      <c r="F169" s="128"/>
      <c r="G169" s="128"/>
      <c r="H169" s="128"/>
      <c r="I169" s="12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</row>
    <row r="170" ht="10.5" customHeight="1">
      <c r="A170" s="127"/>
      <c r="B170" s="118"/>
      <c r="C170" s="128"/>
      <c r="D170" s="128"/>
      <c r="E170" s="128"/>
      <c r="F170" s="128"/>
      <c r="G170" s="128"/>
      <c r="H170" s="128"/>
      <c r="I170" s="12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</row>
    <row r="171" ht="10.5" customHeight="1">
      <c r="A171" s="127"/>
      <c r="B171" s="118"/>
      <c r="C171" s="128"/>
      <c r="D171" s="128"/>
      <c r="E171" s="128"/>
      <c r="F171" s="128"/>
      <c r="G171" s="128"/>
      <c r="H171" s="128"/>
      <c r="I171" s="12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</row>
    <row r="172" ht="10.5" customHeight="1">
      <c r="A172" s="127"/>
      <c r="B172" s="118"/>
      <c r="C172" s="128"/>
      <c r="D172" s="128"/>
      <c r="E172" s="128"/>
      <c r="F172" s="128"/>
      <c r="G172" s="128"/>
      <c r="H172" s="128"/>
      <c r="I172" s="12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</row>
    <row r="173" ht="10.5" customHeight="1">
      <c r="A173" s="127"/>
      <c r="B173" s="118"/>
      <c r="C173" s="128"/>
      <c r="D173" s="128"/>
      <c r="E173" s="128"/>
      <c r="F173" s="128"/>
      <c r="G173" s="128"/>
      <c r="H173" s="128"/>
      <c r="I173" s="12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</row>
    <row r="174" ht="10.5" customHeight="1">
      <c r="A174" s="127"/>
      <c r="B174" s="118"/>
      <c r="C174" s="128"/>
      <c r="D174" s="128"/>
      <c r="E174" s="128"/>
      <c r="F174" s="128"/>
      <c r="G174" s="128"/>
      <c r="H174" s="128"/>
      <c r="I174" s="12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</row>
    <row r="175" ht="10.5" customHeight="1">
      <c r="A175" s="127"/>
      <c r="B175" s="118"/>
      <c r="C175" s="128"/>
      <c r="D175" s="128"/>
      <c r="E175" s="128"/>
      <c r="F175" s="128"/>
      <c r="G175" s="128"/>
      <c r="H175" s="128"/>
      <c r="I175" s="12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</row>
    <row r="176" ht="10.5" customHeight="1">
      <c r="A176" s="127"/>
      <c r="B176" s="118"/>
      <c r="C176" s="128"/>
      <c r="D176" s="128"/>
      <c r="E176" s="128"/>
      <c r="F176" s="128"/>
      <c r="G176" s="128"/>
      <c r="H176" s="128"/>
      <c r="I176" s="12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</row>
    <row r="177" ht="10.5" customHeight="1">
      <c r="A177" s="127"/>
      <c r="B177" s="118"/>
      <c r="C177" s="128"/>
      <c r="D177" s="128"/>
      <c r="E177" s="128"/>
      <c r="F177" s="128"/>
      <c r="G177" s="128"/>
      <c r="H177" s="128"/>
      <c r="I177" s="12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</row>
    <row r="178" ht="10.5" customHeight="1">
      <c r="A178" s="127"/>
      <c r="B178" s="118"/>
      <c r="C178" s="128"/>
      <c r="D178" s="128"/>
      <c r="E178" s="128"/>
      <c r="F178" s="128"/>
      <c r="G178" s="128"/>
      <c r="H178" s="128"/>
      <c r="I178" s="12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</row>
    <row r="179" ht="10.5" customHeight="1">
      <c r="A179" s="127"/>
      <c r="B179" s="118"/>
      <c r="C179" s="128"/>
      <c r="D179" s="128"/>
      <c r="E179" s="128"/>
      <c r="F179" s="128"/>
      <c r="G179" s="128"/>
      <c r="H179" s="128"/>
      <c r="I179" s="12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</row>
    <row r="180" ht="10.5" customHeight="1">
      <c r="A180" s="127"/>
      <c r="B180" s="118"/>
      <c r="C180" s="128"/>
      <c r="D180" s="128"/>
      <c r="E180" s="128"/>
      <c r="F180" s="128"/>
      <c r="G180" s="128"/>
      <c r="H180" s="128"/>
      <c r="I180" s="12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</row>
    <row r="181" ht="10.5" customHeight="1">
      <c r="A181" s="127"/>
      <c r="B181" s="118"/>
      <c r="C181" s="128"/>
      <c r="D181" s="128"/>
      <c r="E181" s="128"/>
      <c r="F181" s="128"/>
      <c r="G181" s="128"/>
      <c r="H181" s="128"/>
      <c r="I181" s="12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</row>
    <row r="182" ht="10.5" customHeight="1">
      <c r="A182" s="127"/>
      <c r="B182" s="118"/>
      <c r="C182" s="128"/>
      <c r="D182" s="128"/>
      <c r="E182" s="128"/>
      <c r="F182" s="128"/>
      <c r="G182" s="128"/>
      <c r="H182" s="128"/>
      <c r="I182" s="12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</row>
    <row r="183" ht="10.5" customHeight="1">
      <c r="A183" s="127"/>
      <c r="B183" s="118"/>
      <c r="C183" s="128"/>
      <c r="D183" s="128"/>
      <c r="E183" s="128"/>
      <c r="F183" s="128"/>
      <c r="G183" s="128"/>
      <c r="H183" s="128"/>
      <c r="I183" s="12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</row>
    <row r="184" ht="10.5" customHeight="1">
      <c r="A184" s="127"/>
      <c r="B184" s="118"/>
      <c r="C184" s="128"/>
      <c r="D184" s="128"/>
      <c r="E184" s="128"/>
      <c r="F184" s="128"/>
      <c r="G184" s="128"/>
      <c r="H184" s="128"/>
      <c r="I184" s="12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</row>
    <row r="185" ht="10.5" customHeight="1">
      <c r="A185" s="127"/>
      <c r="B185" s="118"/>
      <c r="C185" s="128"/>
      <c r="D185" s="128"/>
      <c r="E185" s="128"/>
      <c r="F185" s="128"/>
      <c r="G185" s="128"/>
      <c r="H185" s="128"/>
      <c r="I185" s="12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</row>
    <row r="186" ht="10.5" customHeight="1">
      <c r="A186" s="127"/>
      <c r="B186" s="118"/>
      <c r="C186" s="128"/>
      <c r="D186" s="128"/>
      <c r="E186" s="128"/>
      <c r="F186" s="128"/>
      <c r="G186" s="128"/>
      <c r="H186" s="128"/>
      <c r="I186" s="12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</row>
    <row r="187" ht="10.5" customHeight="1">
      <c r="A187" s="127"/>
      <c r="B187" s="118"/>
      <c r="C187" s="128"/>
      <c r="D187" s="128"/>
      <c r="E187" s="128"/>
      <c r="F187" s="128"/>
      <c r="G187" s="128"/>
      <c r="H187" s="128"/>
      <c r="I187" s="12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</row>
    <row r="188" ht="10.5" customHeight="1">
      <c r="A188" s="127"/>
      <c r="B188" s="118"/>
      <c r="C188" s="128"/>
      <c r="D188" s="128"/>
      <c r="E188" s="128"/>
      <c r="F188" s="128"/>
      <c r="G188" s="128"/>
      <c r="H188" s="128"/>
      <c r="I188" s="12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</row>
    <row r="189" ht="10.5" customHeight="1">
      <c r="A189" s="127"/>
      <c r="B189" s="118"/>
      <c r="C189" s="128"/>
      <c r="D189" s="128"/>
      <c r="E189" s="128"/>
      <c r="F189" s="128"/>
      <c r="G189" s="128"/>
      <c r="H189" s="128"/>
      <c r="I189" s="12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</row>
    <row r="190" ht="10.5" customHeight="1">
      <c r="A190" s="127"/>
      <c r="B190" s="118"/>
      <c r="C190" s="128"/>
      <c r="D190" s="128"/>
      <c r="E190" s="128"/>
      <c r="F190" s="128"/>
      <c r="G190" s="128"/>
      <c r="H190" s="128"/>
      <c r="I190" s="12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</row>
    <row r="191" ht="10.5" customHeight="1">
      <c r="A191" s="127"/>
      <c r="B191" s="118"/>
      <c r="C191" s="128"/>
      <c r="D191" s="128"/>
      <c r="E191" s="128"/>
      <c r="F191" s="128"/>
      <c r="G191" s="128"/>
      <c r="H191" s="128"/>
      <c r="I191" s="12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</row>
    <row r="192" ht="10.5" customHeight="1">
      <c r="A192" s="127"/>
      <c r="B192" s="118"/>
      <c r="C192" s="128"/>
      <c r="D192" s="128"/>
      <c r="E192" s="128"/>
      <c r="F192" s="128"/>
      <c r="G192" s="128"/>
      <c r="H192" s="128"/>
      <c r="I192" s="12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</row>
    <row r="193" ht="10.5" customHeight="1">
      <c r="A193" s="127"/>
      <c r="B193" s="118"/>
      <c r="C193" s="128"/>
      <c r="D193" s="128"/>
      <c r="E193" s="128"/>
      <c r="F193" s="128"/>
      <c r="G193" s="128"/>
      <c r="H193" s="128"/>
      <c r="I193" s="12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</row>
    <row r="194" ht="10.5" customHeight="1">
      <c r="A194" s="127"/>
      <c r="B194" s="118"/>
      <c r="C194" s="128"/>
      <c r="D194" s="128"/>
      <c r="E194" s="128"/>
      <c r="F194" s="128"/>
      <c r="G194" s="128"/>
      <c r="H194" s="128"/>
      <c r="I194" s="12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</row>
    <row r="195" ht="10.5" customHeight="1">
      <c r="A195" s="127"/>
      <c r="B195" s="118"/>
      <c r="C195" s="128"/>
      <c r="D195" s="128"/>
      <c r="E195" s="128"/>
      <c r="F195" s="128"/>
      <c r="G195" s="128"/>
      <c r="H195" s="128"/>
      <c r="I195" s="12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</row>
    <row r="196" ht="10.5" customHeight="1">
      <c r="A196" s="127"/>
      <c r="B196" s="118"/>
      <c r="C196" s="128"/>
      <c r="D196" s="128"/>
      <c r="E196" s="128"/>
      <c r="F196" s="128"/>
      <c r="G196" s="128"/>
      <c r="H196" s="128"/>
      <c r="I196" s="12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</row>
    <row r="197" ht="10.5" customHeight="1">
      <c r="A197" s="127"/>
      <c r="B197" s="118"/>
      <c r="C197" s="128"/>
      <c r="D197" s="128"/>
      <c r="E197" s="128"/>
      <c r="F197" s="128"/>
      <c r="G197" s="128"/>
      <c r="H197" s="128"/>
      <c r="I197" s="12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</row>
    <row r="198" ht="10.5" customHeight="1">
      <c r="A198" s="127"/>
      <c r="B198" s="118"/>
      <c r="C198" s="128"/>
      <c r="D198" s="128"/>
      <c r="E198" s="128"/>
      <c r="F198" s="128"/>
      <c r="G198" s="128"/>
      <c r="H198" s="128"/>
      <c r="I198" s="12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</row>
    <row r="199" ht="10.5" customHeight="1">
      <c r="A199" s="127"/>
      <c r="B199" s="118"/>
      <c r="C199" s="128"/>
      <c r="D199" s="128"/>
      <c r="E199" s="128"/>
      <c r="F199" s="128"/>
      <c r="G199" s="128"/>
      <c r="H199" s="128"/>
      <c r="I199" s="12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</row>
    <row r="200" ht="10.5" customHeight="1">
      <c r="A200" s="127"/>
      <c r="B200" s="118"/>
      <c r="C200" s="128"/>
      <c r="D200" s="128"/>
      <c r="E200" s="128"/>
      <c r="F200" s="128"/>
      <c r="G200" s="128"/>
      <c r="H200" s="128"/>
      <c r="I200" s="12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</row>
    <row r="201" ht="10.5" customHeight="1">
      <c r="A201" s="127"/>
      <c r="B201" s="118"/>
      <c r="C201" s="128"/>
      <c r="D201" s="128"/>
      <c r="E201" s="128"/>
      <c r="F201" s="128"/>
      <c r="G201" s="128"/>
      <c r="H201" s="128"/>
      <c r="I201" s="12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</row>
    <row r="202" ht="10.5" customHeight="1">
      <c r="A202" s="127"/>
      <c r="B202" s="118"/>
      <c r="C202" s="128"/>
      <c r="D202" s="128"/>
      <c r="E202" s="128"/>
      <c r="F202" s="128"/>
      <c r="G202" s="128"/>
      <c r="H202" s="128"/>
      <c r="I202" s="12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</row>
    <row r="203" ht="10.5" customHeight="1">
      <c r="A203" s="127"/>
      <c r="B203" s="118"/>
      <c r="C203" s="128"/>
      <c r="D203" s="128"/>
      <c r="E203" s="128"/>
      <c r="F203" s="128"/>
      <c r="G203" s="128"/>
      <c r="H203" s="128"/>
      <c r="I203" s="12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</row>
    <row r="204" ht="10.5" customHeight="1">
      <c r="A204" s="127"/>
      <c r="B204" s="118"/>
      <c r="C204" s="128"/>
      <c r="D204" s="128"/>
      <c r="E204" s="128"/>
      <c r="F204" s="128"/>
      <c r="G204" s="128"/>
      <c r="H204" s="128"/>
      <c r="I204" s="12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</row>
    <row r="205" ht="10.5" customHeight="1">
      <c r="A205" s="127"/>
      <c r="B205" s="118"/>
      <c r="C205" s="128"/>
      <c r="D205" s="128"/>
      <c r="E205" s="128"/>
      <c r="F205" s="128"/>
      <c r="G205" s="128"/>
      <c r="H205" s="128"/>
      <c r="I205" s="12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</row>
    <row r="206" ht="10.5" customHeight="1">
      <c r="A206" s="127"/>
      <c r="B206" s="118"/>
      <c r="C206" s="128"/>
      <c r="D206" s="128"/>
      <c r="E206" s="128"/>
      <c r="F206" s="128"/>
      <c r="G206" s="128"/>
      <c r="H206" s="128"/>
      <c r="I206" s="12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</row>
    <row r="207" ht="10.5" customHeight="1">
      <c r="A207" s="127"/>
      <c r="B207" s="118"/>
      <c r="C207" s="128"/>
      <c r="D207" s="128"/>
      <c r="E207" s="128"/>
      <c r="F207" s="128"/>
      <c r="G207" s="128"/>
      <c r="H207" s="128"/>
      <c r="I207" s="12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</row>
    <row r="208" ht="10.5" customHeight="1">
      <c r="A208" s="127"/>
      <c r="B208" s="118"/>
      <c r="C208" s="128"/>
      <c r="D208" s="128"/>
      <c r="E208" s="128"/>
      <c r="F208" s="128"/>
      <c r="G208" s="128"/>
      <c r="H208" s="128"/>
      <c r="I208" s="12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</row>
    <row r="209" ht="10.5" customHeight="1">
      <c r="A209" s="127"/>
      <c r="B209" s="118"/>
      <c r="C209" s="128"/>
      <c r="D209" s="128"/>
      <c r="E209" s="128"/>
      <c r="F209" s="128"/>
      <c r="G209" s="128"/>
      <c r="H209" s="128"/>
      <c r="I209" s="12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</row>
    <row r="210" ht="10.5" customHeight="1">
      <c r="A210" s="127"/>
      <c r="B210" s="118"/>
      <c r="C210" s="128"/>
      <c r="D210" s="128"/>
      <c r="E210" s="128"/>
      <c r="F210" s="128"/>
      <c r="G210" s="128"/>
      <c r="H210" s="128"/>
      <c r="I210" s="12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</row>
    <row r="211" ht="10.5" customHeight="1">
      <c r="A211" s="127"/>
      <c r="B211" s="118"/>
      <c r="C211" s="128"/>
      <c r="D211" s="128"/>
      <c r="E211" s="128"/>
      <c r="F211" s="128"/>
      <c r="G211" s="128"/>
      <c r="H211" s="128"/>
      <c r="I211" s="12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</row>
    <row r="212" ht="10.5" customHeight="1">
      <c r="A212" s="127"/>
      <c r="B212" s="118"/>
      <c r="C212" s="128"/>
      <c r="D212" s="128"/>
      <c r="E212" s="128"/>
      <c r="F212" s="128"/>
      <c r="G212" s="128"/>
      <c r="H212" s="128"/>
      <c r="I212" s="12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</row>
    <row r="213" ht="10.5" customHeight="1">
      <c r="A213" s="127"/>
      <c r="B213" s="118"/>
      <c r="C213" s="128"/>
      <c r="D213" s="128"/>
      <c r="E213" s="128"/>
      <c r="F213" s="128"/>
      <c r="G213" s="128"/>
      <c r="H213" s="128"/>
      <c r="I213" s="12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</row>
    <row r="214" ht="10.5" customHeight="1">
      <c r="A214" s="127"/>
      <c r="B214" s="118"/>
      <c r="C214" s="128"/>
      <c r="D214" s="128"/>
      <c r="E214" s="128"/>
      <c r="F214" s="128"/>
      <c r="G214" s="128"/>
      <c r="H214" s="128"/>
      <c r="I214" s="12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</row>
    <row r="215" ht="10.5" customHeight="1">
      <c r="A215" s="127"/>
      <c r="B215" s="118"/>
      <c r="C215" s="128"/>
      <c r="D215" s="128"/>
      <c r="E215" s="128"/>
      <c r="F215" s="128"/>
      <c r="G215" s="128"/>
      <c r="H215" s="128"/>
      <c r="I215" s="12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</row>
    <row r="216" ht="10.5" customHeight="1">
      <c r="A216" s="127"/>
      <c r="B216" s="118"/>
      <c r="C216" s="128"/>
      <c r="D216" s="128"/>
      <c r="E216" s="128"/>
      <c r="F216" s="128"/>
      <c r="G216" s="128"/>
      <c r="H216" s="128"/>
      <c r="I216" s="12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</row>
    <row r="217" ht="10.5" customHeight="1">
      <c r="A217" s="127"/>
      <c r="B217" s="118"/>
      <c r="C217" s="128"/>
      <c r="D217" s="128"/>
      <c r="E217" s="128"/>
      <c r="F217" s="128"/>
      <c r="G217" s="128"/>
      <c r="H217" s="128"/>
      <c r="I217" s="12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</row>
    <row r="218" ht="10.5" customHeight="1">
      <c r="A218" s="127"/>
      <c r="B218" s="118"/>
      <c r="C218" s="128"/>
      <c r="D218" s="128"/>
      <c r="E218" s="128"/>
      <c r="F218" s="128"/>
      <c r="G218" s="128"/>
      <c r="H218" s="128"/>
      <c r="I218" s="12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</row>
    <row r="219" ht="10.5" customHeight="1">
      <c r="A219" s="127"/>
      <c r="B219" s="118"/>
      <c r="C219" s="128"/>
      <c r="D219" s="128"/>
      <c r="E219" s="128"/>
      <c r="F219" s="128"/>
      <c r="G219" s="128"/>
      <c r="H219" s="128"/>
      <c r="I219" s="12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</row>
    <row r="220" ht="10.5" customHeight="1">
      <c r="A220" s="127"/>
      <c r="B220" s="118"/>
      <c r="C220" s="128"/>
      <c r="D220" s="128"/>
      <c r="E220" s="128"/>
      <c r="F220" s="128"/>
      <c r="G220" s="128"/>
      <c r="H220" s="128"/>
      <c r="I220" s="12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</row>
    <row r="221" ht="10.5" customHeight="1">
      <c r="A221" s="127"/>
      <c r="B221" s="118"/>
      <c r="C221" s="128"/>
      <c r="D221" s="128"/>
      <c r="E221" s="128"/>
      <c r="F221" s="128"/>
      <c r="G221" s="128"/>
      <c r="H221" s="128"/>
      <c r="I221" s="12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</row>
    <row r="222" ht="10.5" customHeight="1">
      <c r="A222" s="127"/>
      <c r="B222" s="118"/>
      <c r="C222" s="128"/>
      <c r="D222" s="128"/>
      <c r="E222" s="128"/>
      <c r="F222" s="128"/>
      <c r="G222" s="128"/>
      <c r="H222" s="128"/>
      <c r="I222" s="12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</row>
    <row r="223" ht="10.5" customHeight="1">
      <c r="A223" s="127"/>
      <c r="B223" s="118"/>
      <c r="C223" s="128"/>
      <c r="D223" s="128"/>
      <c r="E223" s="128"/>
      <c r="F223" s="128"/>
      <c r="G223" s="128"/>
      <c r="H223" s="128"/>
      <c r="I223" s="12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</row>
    <row r="224" ht="10.5" customHeight="1">
      <c r="A224" s="127"/>
      <c r="B224" s="118"/>
      <c r="C224" s="128"/>
      <c r="D224" s="128"/>
      <c r="E224" s="128"/>
      <c r="F224" s="128"/>
      <c r="G224" s="128"/>
      <c r="H224" s="128"/>
      <c r="I224" s="12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</row>
    <row r="225" ht="10.5" customHeight="1">
      <c r="A225" s="127"/>
      <c r="B225" s="118"/>
      <c r="C225" s="128"/>
      <c r="D225" s="128"/>
      <c r="E225" s="128"/>
      <c r="F225" s="128"/>
      <c r="G225" s="128"/>
      <c r="H225" s="128"/>
      <c r="I225" s="12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</row>
    <row r="226" ht="10.5" customHeight="1">
      <c r="A226" s="127"/>
      <c r="B226" s="118"/>
      <c r="C226" s="128"/>
      <c r="D226" s="128"/>
      <c r="E226" s="128"/>
      <c r="F226" s="128"/>
      <c r="G226" s="128"/>
      <c r="H226" s="128"/>
      <c r="I226" s="12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</row>
    <row r="227" ht="10.5" customHeight="1">
      <c r="A227" s="127"/>
      <c r="B227" s="118"/>
      <c r="C227" s="128"/>
      <c r="D227" s="128"/>
      <c r="E227" s="128"/>
      <c r="F227" s="128"/>
      <c r="G227" s="128"/>
      <c r="H227" s="128"/>
      <c r="I227" s="12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</row>
    <row r="228" ht="10.5" customHeight="1">
      <c r="A228" s="127"/>
      <c r="B228" s="118"/>
      <c r="C228" s="128"/>
      <c r="D228" s="128"/>
      <c r="E228" s="128"/>
      <c r="F228" s="128"/>
      <c r="G228" s="128"/>
      <c r="H228" s="128"/>
      <c r="I228" s="12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</row>
    <row r="229" ht="10.5" customHeight="1">
      <c r="A229" s="127"/>
      <c r="B229" s="118"/>
      <c r="C229" s="128"/>
      <c r="D229" s="128"/>
      <c r="E229" s="128"/>
      <c r="F229" s="128"/>
      <c r="G229" s="128"/>
      <c r="H229" s="128"/>
      <c r="I229" s="12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</row>
    <row r="230" ht="10.5" customHeight="1">
      <c r="A230" s="127"/>
      <c r="B230" s="118"/>
      <c r="C230" s="128"/>
      <c r="D230" s="128"/>
      <c r="E230" s="128"/>
      <c r="F230" s="128"/>
      <c r="G230" s="128"/>
      <c r="H230" s="128"/>
      <c r="I230" s="12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</row>
    <row r="231" ht="10.5" customHeight="1">
      <c r="A231" s="127"/>
      <c r="B231" s="118"/>
      <c r="C231" s="128"/>
      <c r="D231" s="128"/>
      <c r="E231" s="128"/>
      <c r="F231" s="128"/>
      <c r="G231" s="128"/>
      <c r="H231" s="128"/>
      <c r="I231" s="12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</row>
    <row r="232" ht="10.5" customHeight="1">
      <c r="A232" s="127"/>
      <c r="B232" s="118"/>
      <c r="C232" s="128"/>
      <c r="D232" s="128"/>
      <c r="E232" s="128"/>
      <c r="F232" s="128"/>
      <c r="G232" s="128"/>
      <c r="H232" s="128"/>
      <c r="I232" s="12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</row>
    <row r="233" ht="10.5" customHeight="1">
      <c r="A233" s="127"/>
      <c r="B233" s="118"/>
      <c r="C233" s="128"/>
      <c r="D233" s="128"/>
      <c r="E233" s="128"/>
      <c r="F233" s="128"/>
      <c r="G233" s="128"/>
      <c r="H233" s="128"/>
      <c r="I233" s="12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</row>
    <row r="234" ht="10.5" customHeight="1">
      <c r="A234" s="127"/>
      <c r="B234" s="118"/>
      <c r="C234" s="128"/>
      <c r="D234" s="128"/>
      <c r="E234" s="128"/>
      <c r="F234" s="128"/>
      <c r="G234" s="128"/>
      <c r="H234" s="128"/>
      <c r="I234" s="12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</row>
    <row r="235" ht="10.5" customHeight="1">
      <c r="A235" s="127"/>
      <c r="B235" s="118"/>
      <c r="C235" s="128"/>
      <c r="D235" s="128"/>
      <c r="E235" s="128"/>
      <c r="F235" s="128"/>
      <c r="G235" s="128"/>
      <c r="H235" s="128"/>
      <c r="I235" s="12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</row>
    <row r="236" ht="10.5" customHeight="1">
      <c r="A236" s="127"/>
      <c r="B236" s="118"/>
      <c r="C236" s="128"/>
      <c r="D236" s="128"/>
      <c r="E236" s="128"/>
      <c r="F236" s="128"/>
      <c r="G236" s="128"/>
      <c r="H236" s="128"/>
      <c r="I236" s="12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</row>
    <row r="237" ht="10.5" customHeight="1">
      <c r="A237" s="127"/>
      <c r="B237" s="118"/>
      <c r="C237" s="128"/>
      <c r="D237" s="128"/>
      <c r="E237" s="128"/>
      <c r="F237" s="128"/>
      <c r="G237" s="128"/>
      <c r="H237" s="128"/>
      <c r="I237" s="12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</row>
    <row r="238" ht="10.5" customHeight="1">
      <c r="A238" s="127"/>
      <c r="B238" s="118"/>
      <c r="C238" s="128"/>
      <c r="D238" s="128"/>
      <c r="E238" s="128"/>
      <c r="F238" s="128"/>
      <c r="G238" s="128"/>
      <c r="H238" s="128"/>
      <c r="I238" s="12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</row>
    <row r="239" ht="10.5" customHeight="1">
      <c r="A239" s="127"/>
      <c r="B239" s="118"/>
      <c r="C239" s="128"/>
      <c r="D239" s="128"/>
      <c r="E239" s="128"/>
      <c r="F239" s="128"/>
      <c r="G239" s="128"/>
      <c r="H239" s="128"/>
      <c r="I239" s="12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</row>
    <row r="240" ht="10.5" customHeight="1">
      <c r="A240" s="127"/>
      <c r="B240" s="118"/>
      <c r="C240" s="128"/>
      <c r="D240" s="128"/>
      <c r="E240" s="128"/>
      <c r="F240" s="128"/>
      <c r="G240" s="128"/>
      <c r="H240" s="128"/>
      <c r="I240" s="12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</row>
    <row r="241" ht="10.5" customHeight="1">
      <c r="A241" s="127"/>
      <c r="B241" s="118"/>
      <c r="C241" s="128"/>
      <c r="D241" s="128"/>
      <c r="E241" s="128"/>
      <c r="F241" s="128"/>
      <c r="G241" s="128"/>
      <c r="H241" s="128"/>
      <c r="I241" s="12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</row>
    <row r="242" ht="10.5" customHeight="1">
      <c r="A242" s="127"/>
      <c r="B242" s="118"/>
      <c r="C242" s="128"/>
      <c r="D242" s="128"/>
      <c r="E242" s="128"/>
      <c r="F242" s="128"/>
      <c r="G242" s="128"/>
      <c r="H242" s="128"/>
      <c r="I242" s="12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</row>
    <row r="243" ht="10.5" customHeight="1">
      <c r="A243" s="127"/>
      <c r="B243" s="118"/>
      <c r="C243" s="128"/>
      <c r="D243" s="128"/>
      <c r="E243" s="128"/>
      <c r="F243" s="128"/>
      <c r="G243" s="128"/>
      <c r="H243" s="128"/>
      <c r="I243" s="12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</row>
    <row r="244" ht="10.5" customHeight="1">
      <c r="A244" s="127"/>
      <c r="B244" s="118"/>
      <c r="C244" s="128"/>
      <c r="D244" s="128"/>
      <c r="E244" s="128"/>
      <c r="F244" s="128"/>
      <c r="G244" s="128"/>
      <c r="H244" s="128"/>
      <c r="I244" s="12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</row>
    <row r="245" ht="10.5" customHeight="1">
      <c r="A245" s="127"/>
      <c r="B245" s="118"/>
      <c r="C245" s="128"/>
      <c r="D245" s="128"/>
      <c r="E245" s="128"/>
      <c r="F245" s="128"/>
      <c r="G245" s="128"/>
      <c r="H245" s="128"/>
      <c r="I245" s="12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</row>
    <row r="246" ht="10.5" customHeight="1">
      <c r="A246" s="127"/>
      <c r="B246" s="118"/>
      <c r="C246" s="128"/>
      <c r="D246" s="128"/>
      <c r="E246" s="128"/>
      <c r="F246" s="128"/>
      <c r="G246" s="128"/>
      <c r="H246" s="128"/>
      <c r="I246" s="12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</row>
    <row r="247" ht="10.5" customHeight="1">
      <c r="A247" s="127"/>
      <c r="B247" s="118"/>
      <c r="C247" s="128"/>
      <c r="D247" s="128"/>
      <c r="E247" s="128"/>
      <c r="F247" s="128"/>
      <c r="G247" s="128"/>
      <c r="H247" s="128"/>
      <c r="I247" s="12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</row>
    <row r="248" ht="10.5" customHeight="1">
      <c r="A248" s="127"/>
      <c r="B248" s="118"/>
      <c r="C248" s="128"/>
      <c r="D248" s="128"/>
      <c r="E248" s="128"/>
      <c r="F248" s="128"/>
      <c r="G248" s="128"/>
      <c r="H248" s="128"/>
      <c r="I248" s="12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</row>
    <row r="249" ht="10.5" customHeight="1">
      <c r="A249" s="127"/>
      <c r="B249" s="118"/>
      <c r="C249" s="128"/>
      <c r="D249" s="128"/>
      <c r="E249" s="128"/>
      <c r="F249" s="128"/>
      <c r="G249" s="128"/>
      <c r="H249" s="128"/>
      <c r="I249" s="12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</row>
    <row r="250" ht="10.5" customHeight="1">
      <c r="A250" s="127"/>
      <c r="B250" s="118"/>
      <c r="C250" s="128"/>
      <c r="D250" s="128"/>
      <c r="E250" s="128"/>
      <c r="F250" s="128"/>
      <c r="G250" s="128"/>
      <c r="H250" s="128"/>
      <c r="I250" s="12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</row>
    <row r="251" ht="10.5" customHeight="1">
      <c r="A251" s="127"/>
      <c r="B251" s="118"/>
      <c r="C251" s="128"/>
      <c r="D251" s="128"/>
      <c r="E251" s="128"/>
      <c r="F251" s="128"/>
      <c r="G251" s="128"/>
      <c r="H251" s="128"/>
      <c r="I251" s="12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</row>
    <row r="252" ht="10.5" customHeight="1">
      <c r="A252" s="127"/>
      <c r="B252" s="118"/>
      <c r="C252" s="128"/>
      <c r="D252" s="128"/>
      <c r="E252" s="128"/>
      <c r="F252" s="128"/>
      <c r="G252" s="128"/>
      <c r="H252" s="128"/>
      <c r="I252" s="12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</row>
    <row r="253" ht="10.5" customHeight="1">
      <c r="A253" s="127"/>
      <c r="B253" s="118"/>
      <c r="C253" s="128"/>
      <c r="D253" s="128"/>
      <c r="E253" s="128"/>
      <c r="F253" s="128"/>
      <c r="G253" s="128"/>
      <c r="H253" s="128"/>
      <c r="I253" s="12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</row>
    <row r="254" ht="10.5" customHeight="1">
      <c r="A254" s="127"/>
      <c r="B254" s="118"/>
      <c r="C254" s="128"/>
      <c r="D254" s="128"/>
      <c r="E254" s="128"/>
      <c r="F254" s="128"/>
      <c r="G254" s="128"/>
      <c r="H254" s="128"/>
      <c r="I254" s="12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</row>
    <row r="255" ht="10.5" customHeight="1">
      <c r="A255" s="127"/>
      <c r="B255" s="118"/>
      <c r="C255" s="128"/>
      <c r="D255" s="128"/>
      <c r="E255" s="128"/>
      <c r="F255" s="128"/>
      <c r="G255" s="128"/>
      <c r="H255" s="128"/>
      <c r="I255" s="12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</row>
    <row r="256" ht="10.5" customHeight="1">
      <c r="A256" s="127"/>
      <c r="B256" s="118"/>
      <c r="C256" s="128"/>
      <c r="D256" s="128"/>
      <c r="E256" s="128"/>
      <c r="F256" s="128"/>
      <c r="G256" s="128"/>
      <c r="H256" s="128"/>
      <c r="I256" s="12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</row>
    <row r="257" ht="10.5" customHeight="1">
      <c r="A257" s="127"/>
      <c r="B257" s="118"/>
      <c r="C257" s="128"/>
      <c r="D257" s="128"/>
      <c r="E257" s="128"/>
      <c r="F257" s="128"/>
      <c r="G257" s="128"/>
      <c r="H257" s="128"/>
      <c r="I257" s="12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</row>
    <row r="258" ht="10.5" customHeight="1">
      <c r="A258" s="127"/>
      <c r="B258" s="118"/>
      <c r="C258" s="128"/>
      <c r="D258" s="128"/>
      <c r="E258" s="128"/>
      <c r="F258" s="128"/>
      <c r="G258" s="128"/>
      <c r="H258" s="128"/>
      <c r="I258" s="12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</row>
    <row r="259" ht="10.5" customHeight="1">
      <c r="A259" s="127"/>
      <c r="B259" s="118"/>
      <c r="C259" s="128"/>
      <c r="D259" s="128"/>
      <c r="E259" s="128"/>
      <c r="F259" s="128"/>
      <c r="G259" s="128"/>
      <c r="H259" s="128"/>
      <c r="I259" s="12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</row>
    <row r="260" ht="10.5" customHeight="1">
      <c r="A260" s="127"/>
      <c r="B260" s="118"/>
      <c r="C260" s="128"/>
      <c r="D260" s="128"/>
      <c r="E260" s="128"/>
      <c r="F260" s="128"/>
      <c r="G260" s="128"/>
      <c r="H260" s="128"/>
      <c r="I260" s="12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</row>
    <row r="261" ht="10.5" customHeight="1">
      <c r="A261" s="127"/>
      <c r="B261" s="118"/>
      <c r="C261" s="128"/>
      <c r="D261" s="128"/>
      <c r="E261" s="128"/>
      <c r="F261" s="128"/>
      <c r="G261" s="128"/>
      <c r="H261" s="128"/>
      <c r="I261" s="12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</row>
    <row r="262" ht="10.5" customHeight="1">
      <c r="A262" s="127"/>
      <c r="B262" s="118"/>
      <c r="C262" s="128"/>
      <c r="D262" s="128"/>
      <c r="E262" s="128"/>
      <c r="F262" s="128"/>
      <c r="G262" s="128"/>
      <c r="H262" s="128"/>
      <c r="I262" s="12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</row>
    <row r="263" ht="10.5" customHeight="1">
      <c r="A263" s="127"/>
      <c r="B263" s="118"/>
      <c r="C263" s="128"/>
      <c r="D263" s="128"/>
      <c r="E263" s="128"/>
      <c r="F263" s="128"/>
      <c r="G263" s="128"/>
      <c r="H263" s="128"/>
      <c r="I263" s="12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</row>
    <row r="264" ht="10.5" customHeight="1">
      <c r="A264" s="127"/>
      <c r="B264" s="118"/>
      <c r="C264" s="128"/>
      <c r="D264" s="128"/>
      <c r="E264" s="128"/>
      <c r="F264" s="128"/>
      <c r="G264" s="128"/>
      <c r="H264" s="128"/>
      <c r="I264" s="12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</row>
    <row r="265" ht="10.5" customHeight="1">
      <c r="A265" s="127"/>
      <c r="B265" s="118"/>
      <c r="C265" s="128"/>
      <c r="D265" s="128"/>
      <c r="E265" s="128"/>
      <c r="F265" s="128"/>
      <c r="G265" s="128"/>
      <c r="H265" s="128"/>
      <c r="I265" s="12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</row>
    <row r="266" ht="10.5" customHeight="1">
      <c r="A266" s="127"/>
      <c r="B266" s="118"/>
      <c r="C266" s="128"/>
      <c r="D266" s="128"/>
      <c r="E266" s="128"/>
      <c r="F266" s="128"/>
      <c r="G266" s="128"/>
      <c r="H266" s="128"/>
      <c r="I266" s="12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</row>
    <row r="267" ht="10.5" customHeight="1">
      <c r="A267" s="127"/>
      <c r="B267" s="118"/>
      <c r="C267" s="128"/>
      <c r="D267" s="128"/>
      <c r="E267" s="128"/>
      <c r="F267" s="128"/>
      <c r="G267" s="128"/>
      <c r="H267" s="128"/>
      <c r="I267" s="12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</row>
    <row r="268" ht="10.5" customHeight="1">
      <c r="A268" s="127"/>
      <c r="B268" s="118"/>
      <c r="C268" s="128"/>
      <c r="D268" s="128"/>
      <c r="E268" s="128"/>
      <c r="F268" s="128"/>
      <c r="G268" s="128"/>
      <c r="H268" s="128"/>
      <c r="I268" s="12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</row>
    <row r="269" ht="10.5" customHeight="1">
      <c r="A269" s="127"/>
      <c r="B269" s="118"/>
      <c r="C269" s="128"/>
      <c r="D269" s="128"/>
      <c r="E269" s="128"/>
      <c r="F269" s="128"/>
      <c r="G269" s="128"/>
      <c r="H269" s="128"/>
      <c r="I269" s="12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</row>
    <row r="270" ht="10.5" customHeight="1">
      <c r="A270" s="127"/>
      <c r="B270" s="118"/>
      <c r="C270" s="128"/>
      <c r="D270" s="128"/>
      <c r="E270" s="128"/>
      <c r="F270" s="128"/>
      <c r="G270" s="128"/>
      <c r="H270" s="128"/>
      <c r="I270" s="12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</row>
    <row r="271" ht="10.5" customHeight="1">
      <c r="A271" s="127"/>
      <c r="B271" s="118"/>
      <c r="C271" s="128"/>
      <c r="D271" s="128"/>
      <c r="E271" s="128"/>
      <c r="F271" s="128"/>
      <c r="G271" s="128"/>
      <c r="H271" s="128"/>
      <c r="I271" s="12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</row>
    <row r="272" ht="10.5" customHeight="1">
      <c r="A272" s="127"/>
      <c r="B272" s="118"/>
      <c r="C272" s="128"/>
      <c r="D272" s="128"/>
      <c r="E272" s="128"/>
      <c r="F272" s="128"/>
      <c r="G272" s="128"/>
      <c r="H272" s="128"/>
      <c r="I272" s="12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</row>
    <row r="273" ht="10.5" customHeight="1">
      <c r="A273" s="127"/>
      <c r="B273" s="118"/>
      <c r="C273" s="128"/>
      <c r="D273" s="128"/>
      <c r="E273" s="128"/>
      <c r="F273" s="128"/>
      <c r="G273" s="128"/>
      <c r="H273" s="128"/>
      <c r="I273" s="12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</row>
    <row r="274" ht="10.5" customHeight="1">
      <c r="A274" s="127"/>
      <c r="B274" s="118"/>
      <c r="C274" s="128"/>
      <c r="D274" s="128"/>
      <c r="E274" s="128"/>
      <c r="F274" s="128"/>
      <c r="G274" s="128"/>
      <c r="H274" s="128"/>
      <c r="I274" s="12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</row>
    <row r="275" ht="10.5" customHeight="1">
      <c r="A275" s="127"/>
      <c r="B275" s="118"/>
      <c r="C275" s="128"/>
      <c r="D275" s="128"/>
      <c r="E275" s="128"/>
      <c r="F275" s="128"/>
      <c r="G275" s="128"/>
      <c r="H275" s="128"/>
      <c r="I275" s="12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</row>
    <row r="276" ht="10.5" customHeight="1">
      <c r="A276" s="127"/>
      <c r="B276" s="118"/>
      <c r="C276" s="128"/>
      <c r="D276" s="128"/>
      <c r="E276" s="128"/>
      <c r="F276" s="128"/>
      <c r="G276" s="128"/>
      <c r="H276" s="128"/>
      <c r="I276" s="12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</row>
    <row r="277" ht="10.5" customHeight="1">
      <c r="A277" s="127"/>
      <c r="B277" s="118"/>
      <c r="C277" s="128"/>
      <c r="D277" s="128"/>
      <c r="E277" s="128"/>
      <c r="F277" s="128"/>
      <c r="G277" s="128"/>
      <c r="H277" s="128"/>
      <c r="I277" s="12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</row>
    <row r="278" ht="10.5" customHeight="1">
      <c r="A278" s="127"/>
      <c r="B278" s="118"/>
      <c r="C278" s="128"/>
      <c r="D278" s="128"/>
      <c r="E278" s="128"/>
      <c r="F278" s="128"/>
      <c r="G278" s="128"/>
      <c r="H278" s="128"/>
      <c r="I278" s="12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</row>
    <row r="279" ht="10.5" customHeight="1">
      <c r="A279" s="127"/>
      <c r="B279" s="118"/>
      <c r="C279" s="128"/>
      <c r="D279" s="128"/>
      <c r="E279" s="128"/>
      <c r="F279" s="128"/>
      <c r="G279" s="128"/>
      <c r="H279" s="128"/>
      <c r="I279" s="12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</row>
    <row r="280" ht="10.5" customHeight="1">
      <c r="A280" s="127"/>
      <c r="B280" s="118"/>
      <c r="C280" s="128"/>
      <c r="D280" s="128"/>
      <c r="E280" s="128"/>
      <c r="F280" s="128"/>
      <c r="G280" s="128"/>
      <c r="H280" s="128"/>
      <c r="I280" s="12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</row>
    <row r="281" ht="10.5" customHeight="1">
      <c r="A281" s="127"/>
      <c r="B281" s="118"/>
      <c r="C281" s="128"/>
      <c r="D281" s="128"/>
      <c r="E281" s="128"/>
      <c r="F281" s="128"/>
      <c r="G281" s="128"/>
      <c r="H281" s="128"/>
      <c r="I281" s="12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</row>
    <row r="282" ht="10.5" customHeight="1">
      <c r="A282" s="127"/>
      <c r="B282" s="118"/>
      <c r="C282" s="128"/>
      <c r="D282" s="128"/>
      <c r="E282" s="128"/>
      <c r="F282" s="128"/>
      <c r="G282" s="128"/>
      <c r="H282" s="128"/>
      <c r="I282" s="12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</row>
    <row r="283" ht="10.5" customHeight="1">
      <c r="A283" s="127"/>
      <c r="B283" s="118"/>
      <c r="C283" s="128"/>
      <c r="D283" s="128"/>
      <c r="E283" s="128"/>
      <c r="F283" s="128"/>
      <c r="G283" s="128"/>
      <c r="H283" s="128"/>
      <c r="I283" s="12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</row>
    <row r="284" ht="10.5" customHeight="1">
      <c r="A284" s="127"/>
      <c r="B284" s="118"/>
      <c r="C284" s="128"/>
      <c r="D284" s="128"/>
      <c r="E284" s="128"/>
      <c r="F284" s="128"/>
      <c r="G284" s="128"/>
      <c r="H284" s="128"/>
      <c r="I284" s="12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</row>
    <row r="285" ht="10.5" customHeight="1">
      <c r="A285" s="127"/>
      <c r="B285" s="118"/>
      <c r="C285" s="128"/>
      <c r="D285" s="128"/>
      <c r="E285" s="128"/>
      <c r="F285" s="128"/>
      <c r="G285" s="128"/>
      <c r="H285" s="128"/>
      <c r="I285" s="12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</row>
    <row r="286" ht="10.5" customHeight="1">
      <c r="A286" s="127"/>
      <c r="B286" s="118"/>
      <c r="C286" s="128"/>
      <c r="D286" s="128"/>
      <c r="E286" s="128"/>
      <c r="F286" s="128"/>
      <c r="G286" s="128"/>
      <c r="H286" s="128"/>
      <c r="I286" s="12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</row>
    <row r="287" ht="10.5" customHeight="1">
      <c r="A287" s="127"/>
      <c r="B287" s="118"/>
      <c r="C287" s="128"/>
      <c r="D287" s="128"/>
      <c r="E287" s="128"/>
      <c r="F287" s="128"/>
      <c r="G287" s="128"/>
      <c r="H287" s="128"/>
      <c r="I287" s="12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</row>
    <row r="288" ht="10.5" customHeight="1">
      <c r="A288" s="127"/>
      <c r="B288" s="118"/>
      <c r="C288" s="128"/>
      <c r="D288" s="128"/>
      <c r="E288" s="128"/>
      <c r="F288" s="128"/>
      <c r="G288" s="128"/>
      <c r="H288" s="128"/>
      <c r="I288" s="12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</row>
    <row r="289" ht="10.5" customHeight="1">
      <c r="A289" s="127"/>
      <c r="B289" s="118"/>
      <c r="C289" s="128"/>
      <c r="D289" s="128"/>
      <c r="E289" s="128"/>
      <c r="F289" s="128"/>
      <c r="G289" s="128"/>
      <c r="H289" s="128"/>
      <c r="I289" s="12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</row>
    <row r="290" ht="10.5" customHeight="1">
      <c r="A290" s="127"/>
      <c r="B290" s="118"/>
      <c r="C290" s="128"/>
      <c r="D290" s="128"/>
      <c r="E290" s="128"/>
      <c r="F290" s="128"/>
      <c r="G290" s="128"/>
      <c r="H290" s="128"/>
      <c r="I290" s="12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</row>
    <row r="291" ht="10.5" customHeight="1">
      <c r="A291" s="127"/>
      <c r="B291" s="118"/>
      <c r="C291" s="128"/>
      <c r="D291" s="128"/>
      <c r="E291" s="128"/>
      <c r="F291" s="128"/>
      <c r="G291" s="128"/>
      <c r="H291" s="128"/>
      <c r="I291" s="12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</row>
    <row r="292" ht="10.5" customHeight="1">
      <c r="A292" s="127"/>
      <c r="B292" s="118"/>
      <c r="C292" s="128"/>
      <c r="D292" s="128"/>
      <c r="E292" s="128"/>
      <c r="F292" s="128"/>
      <c r="G292" s="128"/>
      <c r="H292" s="128"/>
      <c r="I292" s="12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</row>
    <row r="293" ht="10.5" customHeight="1">
      <c r="A293" s="127"/>
      <c r="B293" s="118"/>
      <c r="C293" s="128"/>
      <c r="D293" s="128"/>
      <c r="E293" s="128"/>
      <c r="F293" s="128"/>
      <c r="G293" s="128"/>
      <c r="H293" s="128"/>
      <c r="I293" s="12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</row>
    <row r="294" ht="10.5" customHeight="1">
      <c r="A294" s="127"/>
      <c r="B294" s="118"/>
      <c r="C294" s="128"/>
      <c r="D294" s="128"/>
      <c r="E294" s="128"/>
      <c r="F294" s="128"/>
      <c r="G294" s="128"/>
      <c r="H294" s="128"/>
      <c r="I294" s="12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</row>
    <row r="295" ht="10.5" customHeight="1">
      <c r="A295" s="127"/>
      <c r="B295" s="118"/>
      <c r="C295" s="128"/>
      <c r="D295" s="128"/>
      <c r="E295" s="128"/>
      <c r="F295" s="128"/>
      <c r="G295" s="128"/>
      <c r="H295" s="128"/>
      <c r="I295" s="12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</row>
    <row r="296" ht="10.5" customHeight="1">
      <c r="A296" s="127"/>
      <c r="B296" s="118"/>
      <c r="C296" s="128"/>
      <c r="D296" s="128"/>
      <c r="E296" s="128"/>
      <c r="F296" s="128"/>
      <c r="G296" s="128"/>
      <c r="H296" s="128"/>
      <c r="I296" s="12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</row>
    <row r="297" ht="10.5" customHeight="1">
      <c r="A297" s="127"/>
      <c r="B297" s="118"/>
      <c r="C297" s="128"/>
      <c r="D297" s="128"/>
      <c r="E297" s="128"/>
      <c r="F297" s="128"/>
      <c r="G297" s="128"/>
      <c r="H297" s="128"/>
      <c r="I297" s="12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</row>
    <row r="298" ht="10.5" customHeight="1">
      <c r="A298" s="127"/>
      <c r="B298" s="118"/>
      <c r="C298" s="128"/>
      <c r="D298" s="128"/>
      <c r="E298" s="128"/>
      <c r="F298" s="128"/>
      <c r="G298" s="128"/>
      <c r="H298" s="128"/>
      <c r="I298" s="12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</row>
    <row r="299" ht="10.5" customHeight="1">
      <c r="A299" s="127"/>
      <c r="B299" s="118"/>
      <c r="C299" s="128"/>
      <c r="D299" s="128"/>
      <c r="E299" s="128"/>
      <c r="F299" s="128"/>
      <c r="G299" s="128"/>
      <c r="H299" s="128"/>
      <c r="I299" s="12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</row>
    <row r="300" ht="10.5" customHeight="1">
      <c r="A300" s="127"/>
      <c r="B300" s="118"/>
      <c r="C300" s="128"/>
      <c r="D300" s="128"/>
      <c r="E300" s="128"/>
      <c r="F300" s="128"/>
      <c r="G300" s="128"/>
      <c r="H300" s="128"/>
      <c r="I300" s="12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</row>
    <row r="301" ht="10.5" customHeight="1">
      <c r="A301" s="127"/>
      <c r="B301" s="118"/>
      <c r="C301" s="128"/>
      <c r="D301" s="128"/>
      <c r="E301" s="128"/>
      <c r="F301" s="128"/>
      <c r="G301" s="128"/>
      <c r="H301" s="128"/>
      <c r="I301" s="12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</row>
    <row r="302" ht="10.5" customHeight="1">
      <c r="A302" s="127"/>
      <c r="B302" s="118"/>
      <c r="C302" s="128"/>
      <c r="D302" s="128"/>
      <c r="E302" s="128"/>
      <c r="F302" s="128"/>
      <c r="G302" s="128"/>
      <c r="H302" s="128"/>
      <c r="I302" s="12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</row>
    <row r="303" ht="10.5" customHeight="1">
      <c r="A303" s="127"/>
      <c r="B303" s="118"/>
      <c r="C303" s="128"/>
      <c r="D303" s="128"/>
      <c r="E303" s="128"/>
      <c r="F303" s="128"/>
      <c r="G303" s="128"/>
      <c r="H303" s="128"/>
      <c r="I303" s="12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</row>
    <row r="304" ht="10.5" customHeight="1">
      <c r="A304" s="127"/>
      <c r="B304" s="118"/>
      <c r="C304" s="128"/>
      <c r="D304" s="128"/>
      <c r="E304" s="128"/>
      <c r="F304" s="128"/>
      <c r="G304" s="128"/>
      <c r="H304" s="128"/>
      <c r="I304" s="12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</row>
    <row r="305" ht="10.5" customHeight="1">
      <c r="A305" s="127"/>
      <c r="B305" s="118"/>
      <c r="C305" s="128"/>
      <c r="D305" s="128"/>
      <c r="E305" s="128"/>
      <c r="F305" s="128"/>
      <c r="G305" s="128"/>
      <c r="H305" s="128"/>
      <c r="I305" s="12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</row>
    <row r="306" ht="10.5" customHeight="1">
      <c r="A306" s="127"/>
      <c r="B306" s="118"/>
      <c r="C306" s="128"/>
      <c r="D306" s="128"/>
      <c r="E306" s="128"/>
      <c r="F306" s="128"/>
      <c r="G306" s="128"/>
      <c r="H306" s="128"/>
      <c r="I306" s="12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</row>
    <row r="307" ht="10.5" customHeight="1">
      <c r="A307" s="127"/>
      <c r="B307" s="118"/>
      <c r="C307" s="128"/>
      <c r="D307" s="128"/>
      <c r="E307" s="128"/>
      <c r="F307" s="128"/>
      <c r="G307" s="128"/>
      <c r="H307" s="128"/>
      <c r="I307" s="12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</row>
    <row r="308" ht="10.5" customHeight="1">
      <c r="A308" s="127"/>
      <c r="B308" s="118"/>
      <c r="C308" s="128"/>
      <c r="D308" s="128"/>
      <c r="E308" s="128"/>
      <c r="F308" s="128"/>
      <c r="G308" s="128"/>
      <c r="H308" s="128"/>
      <c r="I308" s="12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</row>
    <row r="309" ht="10.5" customHeight="1">
      <c r="A309" s="127"/>
      <c r="B309" s="118"/>
      <c r="C309" s="128"/>
      <c r="D309" s="128"/>
      <c r="E309" s="128"/>
      <c r="F309" s="128"/>
      <c r="G309" s="128"/>
      <c r="H309" s="128"/>
      <c r="I309" s="12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</row>
    <row r="310" ht="10.5" customHeight="1">
      <c r="A310" s="127"/>
      <c r="B310" s="118"/>
      <c r="C310" s="128"/>
      <c r="D310" s="128"/>
      <c r="E310" s="128"/>
      <c r="F310" s="128"/>
      <c r="G310" s="128"/>
      <c r="H310" s="128"/>
      <c r="I310" s="12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</row>
    <row r="311" ht="10.5" customHeight="1">
      <c r="A311" s="127"/>
      <c r="B311" s="118"/>
      <c r="C311" s="128"/>
      <c r="D311" s="128"/>
      <c r="E311" s="128"/>
      <c r="F311" s="128"/>
      <c r="G311" s="128"/>
      <c r="H311" s="128"/>
      <c r="I311" s="12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</row>
    <row r="312" ht="10.5" customHeight="1">
      <c r="A312" s="127"/>
      <c r="B312" s="118"/>
      <c r="C312" s="128"/>
      <c r="D312" s="128"/>
      <c r="E312" s="128"/>
      <c r="F312" s="128"/>
      <c r="G312" s="128"/>
      <c r="H312" s="128"/>
      <c r="I312" s="12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</row>
    <row r="313" ht="10.5" customHeight="1">
      <c r="A313" s="127"/>
      <c r="B313" s="118"/>
      <c r="C313" s="128"/>
      <c r="D313" s="128"/>
      <c r="E313" s="128"/>
      <c r="F313" s="128"/>
      <c r="G313" s="128"/>
      <c r="H313" s="128"/>
      <c r="I313" s="12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</row>
    <row r="314" ht="10.5" customHeight="1">
      <c r="A314" s="127"/>
      <c r="B314" s="118"/>
      <c r="C314" s="128"/>
      <c r="D314" s="128"/>
      <c r="E314" s="128"/>
      <c r="F314" s="128"/>
      <c r="G314" s="128"/>
      <c r="H314" s="128"/>
      <c r="I314" s="12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</row>
    <row r="315" ht="10.5" customHeight="1">
      <c r="A315" s="127"/>
      <c r="B315" s="118"/>
      <c r="C315" s="128"/>
      <c r="D315" s="128"/>
      <c r="E315" s="128"/>
      <c r="F315" s="128"/>
      <c r="G315" s="128"/>
      <c r="H315" s="128"/>
      <c r="I315" s="12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</row>
    <row r="316" ht="10.5" customHeight="1">
      <c r="A316" s="127"/>
      <c r="B316" s="118"/>
      <c r="C316" s="128"/>
      <c r="D316" s="128"/>
      <c r="E316" s="128"/>
      <c r="F316" s="128"/>
      <c r="G316" s="128"/>
      <c r="H316" s="128"/>
      <c r="I316" s="12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</row>
    <row r="317" ht="10.5" customHeight="1">
      <c r="A317" s="127"/>
      <c r="B317" s="118"/>
      <c r="C317" s="128"/>
      <c r="D317" s="128"/>
      <c r="E317" s="128"/>
      <c r="F317" s="128"/>
      <c r="G317" s="128"/>
      <c r="H317" s="128"/>
      <c r="I317" s="12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</row>
    <row r="318" ht="10.5" customHeight="1">
      <c r="A318" s="127"/>
      <c r="B318" s="118"/>
      <c r="C318" s="128"/>
      <c r="D318" s="128"/>
      <c r="E318" s="128"/>
      <c r="F318" s="128"/>
      <c r="G318" s="128"/>
      <c r="H318" s="128"/>
      <c r="I318" s="12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</row>
    <row r="319" ht="10.5" customHeight="1">
      <c r="A319" s="127"/>
      <c r="B319" s="118"/>
      <c r="C319" s="128"/>
      <c r="D319" s="128"/>
      <c r="E319" s="128"/>
      <c r="F319" s="128"/>
      <c r="G319" s="128"/>
      <c r="H319" s="128"/>
      <c r="I319" s="12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</row>
    <row r="320" ht="10.5" customHeight="1">
      <c r="A320" s="127"/>
      <c r="B320" s="118"/>
      <c r="C320" s="128"/>
      <c r="D320" s="128"/>
      <c r="E320" s="128"/>
      <c r="F320" s="128"/>
      <c r="G320" s="128"/>
      <c r="H320" s="128"/>
      <c r="I320" s="12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</row>
    <row r="321" ht="10.5" customHeight="1">
      <c r="A321" s="127"/>
      <c r="B321" s="118"/>
      <c r="C321" s="128"/>
      <c r="D321" s="128"/>
      <c r="E321" s="128"/>
      <c r="F321" s="128"/>
      <c r="G321" s="128"/>
      <c r="H321" s="128"/>
      <c r="I321" s="12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</row>
    <row r="322" ht="10.5" customHeight="1">
      <c r="A322" s="127"/>
      <c r="B322" s="118"/>
      <c r="C322" s="128"/>
      <c r="D322" s="128"/>
      <c r="E322" s="128"/>
      <c r="F322" s="128"/>
      <c r="G322" s="128"/>
      <c r="H322" s="128"/>
      <c r="I322" s="12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</row>
    <row r="323" ht="10.5" customHeight="1">
      <c r="A323" s="127"/>
      <c r="B323" s="118"/>
      <c r="C323" s="128"/>
      <c r="D323" s="128"/>
      <c r="E323" s="128"/>
      <c r="F323" s="128"/>
      <c r="G323" s="128"/>
      <c r="H323" s="128"/>
      <c r="I323" s="12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</row>
    <row r="324" ht="10.5" customHeight="1">
      <c r="A324" s="127"/>
      <c r="B324" s="118"/>
      <c r="C324" s="128"/>
      <c r="D324" s="128"/>
      <c r="E324" s="128"/>
      <c r="F324" s="128"/>
      <c r="G324" s="128"/>
      <c r="H324" s="128"/>
      <c r="I324" s="12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</row>
    <row r="325" ht="10.5" customHeight="1">
      <c r="A325" s="127"/>
      <c r="B325" s="118"/>
      <c r="C325" s="128"/>
      <c r="D325" s="128"/>
      <c r="E325" s="128"/>
      <c r="F325" s="128"/>
      <c r="G325" s="128"/>
      <c r="H325" s="128"/>
      <c r="I325" s="12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</row>
    <row r="326" ht="10.5" customHeight="1">
      <c r="A326" s="127"/>
      <c r="B326" s="118"/>
      <c r="C326" s="128"/>
      <c r="D326" s="128"/>
      <c r="E326" s="128"/>
      <c r="F326" s="128"/>
      <c r="G326" s="128"/>
      <c r="H326" s="128"/>
      <c r="I326" s="12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</row>
    <row r="327" ht="10.5" customHeight="1">
      <c r="A327" s="127"/>
      <c r="B327" s="118"/>
      <c r="C327" s="128"/>
      <c r="D327" s="128"/>
      <c r="E327" s="128"/>
      <c r="F327" s="128"/>
      <c r="G327" s="128"/>
      <c r="H327" s="128"/>
      <c r="I327" s="12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</row>
    <row r="328" ht="10.5" customHeight="1">
      <c r="A328" s="127"/>
      <c r="B328" s="118"/>
      <c r="C328" s="128"/>
      <c r="D328" s="128"/>
      <c r="E328" s="128"/>
      <c r="F328" s="128"/>
      <c r="G328" s="128"/>
      <c r="H328" s="128"/>
      <c r="I328" s="12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</row>
    <row r="329" ht="10.5" customHeight="1">
      <c r="A329" s="127"/>
      <c r="B329" s="118"/>
      <c r="C329" s="128"/>
      <c r="D329" s="128"/>
      <c r="E329" s="128"/>
      <c r="F329" s="128"/>
      <c r="G329" s="128"/>
      <c r="H329" s="128"/>
      <c r="I329" s="12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</row>
    <row r="330" ht="10.5" customHeight="1">
      <c r="A330" s="127"/>
      <c r="B330" s="118"/>
      <c r="C330" s="128"/>
      <c r="D330" s="128"/>
      <c r="E330" s="128"/>
      <c r="F330" s="128"/>
      <c r="G330" s="128"/>
      <c r="H330" s="128"/>
      <c r="I330" s="12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</row>
    <row r="331" ht="10.5" customHeight="1">
      <c r="A331" s="127"/>
      <c r="B331" s="118"/>
      <c r="C331" s="128"/>
      <c r="D331" s="128"/>
      <c r="E331" s="128"/>
      <c r="F331" s="128"/>
      <c r="G331" s="128"/>
      <c r="H331" s="128"/>
      <c r="I331" s="12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</row>
    <row r="332" ht="10.5" customHeight="1">
      <c r="A332" s="127"/>
      <c r="B332" s="118"/>
      <c r="C332" s="128"/>
      <c r="D332" s="128"/>
      <c r="E332" s="128"/>
      <c r="F332" s="128"/>
      <c r="G332" s="128"/>
      <c r="H332" s="128"/>
      <c r="I332" s="12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</row>
    <row r="333" ht="10.5" customHeight="1">
      <c r="A333" s="127"/>
      <c r="B333" s="118"/>
      <c r="C333" s="128"/>
      <c r="D333" s="128"/>
      <c r="E333" s="128"/>
      <c r="F333" s="128"/>
      <c r="G333" s="128"/>
      <c r="H333" s="128"/>
      <c r="I333" s="12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</row>
    <row r="334" ht="10.5" customHeight="1">
      <c r="A334" s="127"/>
      <c r="B334" s="118"/>
      <c r="C334" s="128"/>
      <c r="D334" s="128"/>
      <c r="E334" s="128"/>
      <c r="F334" s="128"/>
      <c r="G334" s="128"/>
      <c r="H334" s="128"/>
      <c r="I334" s="12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</row>
    <row r="335" ht="10.5" customHeight="1">
      <c r="A335" s="127"/>
      <c r="B335" s="118"/>
      <c r="C335" s="128"/>
      <c r="D335" s="128"/>
      <c r="E335" s="128"/>
      <c r="F335" s="128"/>
      <c r="G335" s="128"/>
      <c r="H335" s="128"/>
      <c r="I335" s="12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</row>
    <row r="336" ht="10.5" customHeight="1">
      <c r="A336" s="127"/>
      <c r="B336" s="118"/>
      <c r="C336" s="128"/>
      <c r="D336" s="128"/>
      <c r="E336" s="128"/>
      <c r="F336" s="128"/>
      <c r="G336" s="128"/>
      <c r="H336" s="128"/>
      <c r="I336" s="12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</row>
    <row r="337" ht="10.5" customHeight="1">
      <c r="A337" s="127"/>
      <c r="B337" s="118"/>
      <c r="C337" s="128"/>
      <c r="D337" s="128"/>
      <c r="E337" s="128"/>
      <c r="F337" s="128"/>
      <c r="G337" s="128"/>
      <c r="H337" s="128"/>
      <c r="I337" s="12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</row>
    <row r="338" ht="10.5" customHeight="1">
      <c r="A338" s="127"/>
      <c r="B338" s="118"/>
      <c r="C338" s="128"/>
      <c r="D338" s="128"/>
      <c r="E338" s="128"/>
      <c r="F338" s="128"/>
      <c r="G338" s="128"/>
      <c r="H338" s="128"/>
      <c r="I338" s="12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</row>
    <row r="339" ht="10.5" customHeight="1">
      <c r="A339" s="127"/>
      <c r="B339" s="118"/>
      <c r="C339" s="128"/>
      <c r="D339" s="128"/>
      <c r="E339" s="128"/>
      <c r="F339" s="128"/>
      <c r="G339" s="128"/>
      <c r="H339" s="128"/>
      <c r="I339" s="12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</row>
    <row r="340" ht="10.5" customHeight="1">
      <c r="A340" s="127"/>
      <c r="B340" s="118"/>
      <c r="C340" s="128"/>
      <c r="D340" s="128"/>
      <c r="E340" s="128"/>
      <c r="F340" s="128"/>
      <c r="G340" s="128"/>
      <c r="H340" s="128"/>
      <c r="I340" s="12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</row>
    <row r="341" ht="10.5" customHeight="1">
      <c r="A341" s="127"/>
      <c r="B341" s="118"/>
      <c r="C341" s="128"/>
      <c r="D341" s="128"/>
      <c r="E341" s="128"/>
      <c r="F341" s="128"/>
      <c r="G341" s="128"/>
      <c r="H341" s="128"/>
      <c r="I341" s="12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</row>
    <row r="342" ht="10.5" customHeight="1">
      <c r="A342" s="127"/>
      <c r="B342" s="118"/>
      <c r="C342" s="128"/>
      <c r="D342" s="128"/>
      <c r="E342" s="128"/>
      <c r="F342" s="128"/>
      <c r="G342" s="128"/>
      <c r="H342" s="128"/>
      <c r="I342" s="12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</row>
    <row r="343" ht="10.5" customHeight="1">
      <c r="A343" s="127"/>
      <c r="B343" s="118"/>
      <c r="C343" s="128"/>
      <c r="D343" s="128"/>
      <c r="E343" s="128"/>
      <c r="F343" s="128"/>
      <c r="G343" s="128"/>
      <c r="H343" s="128"/>
      <c r="I343" s="12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</row>
    <row r="344" ht="10.5" customHeight="1">
      <c r="A344" s="127"/>
      <c r="B344" s="118"/>
      <c r="C344" s="128"/>
      <c r="D344" s="128"/>
      <c r="E344" s="128"/>
      <c r="F344" s="128"/>
      <c r="G344" s="128"/>
      <c r="H344" s="128"/>
      <c r="I344" s="12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</row>
    <row r="345" ht="10.5" customHeight="1">
      <c r="A345" s="127"/>
      <c r="B345" s="118"/>
      <c r="C345" s="128"/>
      <c r="D345" s="128"/>
      <c r="E345" s="128"/>
      <c r="F345" s="128"/>
      <c r="G345" s="128"/>
      <c r="H345" s="128"/>
      <c r="I345" s="12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</row>
    <row r="346" ht="10.5" customHeight="1">
      <c r="A346" s="127"/>
      <c r="B346" s="118"/>
      <c r="C346" s="128"/>
      <c r="D346" s="128"/>
      <c r="E346" s="128"/>
      <c r="F346" s="128"/>
      <c r="G346" s="128"/>
      <c r="H346" s="128"/>
      <c r="I346" s="12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</row>
    <row r="347" ht="10.5" customHeight="1">
      <c r="A347" s="127"/>
      <c r="B347" s="118"/>
      <c r="C347" s="128"/>
      <c r="D347" s="128"/>
      <c r="E347" s="128"/>
      <c r="F347" s="128"/>
      <c r="G347" s="128"/>
      <c r="H347" s="128"/>
      <c r="I347" s="12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</row>
    <row r="348" ht="10.5" customHeight="1">
      <c r="A348" s="127"/>
      <c r="B348" s="118"/>
      <c r="C348" s="128"/>
      <c r="D348" s="128"/>
      <c r="E348" s="128"/>
      <c r="F348" s="128"/>
      <c r="G348" s="128"/>
      <c r="H348" s="128"/>
      <c r="I348" s="12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</row>
    <row r="349" ht="10.5" customHeight="1">
      <c r="A349" s="127"/>
      <c r="B349" s="118"/>
      <c r="C349" s="128"/>
      <c r="D349" s="128"/>
      <c r="E349" s="128"/>
      <c r="F349" s="128"/>
      <c r="G349" s="128"/>
      <c r="H349" s="128"/>
      <c r="I349" s="12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</row>
    <row r="350" ht="10.5" customHeight="1">
      <c r="A350" s="127"/>
      <c r="B350" s="118"/>
      <c r="C350" s="128"/>
      <c r="D350" s="128"/>
      <c r="E350" s="128"/>
      <c r="F350" s="128"/>
      <c r="G350" s="128"/>
      <c r="H350" s="128"/>
      <c r="I350" s="12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</row>
    <row r="351" ht="10.5" customHeight="1">
      <c r="A351" s="127"/>
      <c r="B351" s="118"/>
      <c r="C351" s="128"/>
      <c r="D351" s="128"/>
      <c r="E351" s="128"/>
      <c r="F351" s="128"/>
      <c r="G351" s="128"/>
      <c r="H351" s="128"/>
      <c r="I351" s="12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</row>
    <row r="352" ht="10.5" customHeight="1">
      <c r="A352" s="127"/>
      <c r="B352" s="118"/>
      <c r="C352" s="128"/>
      <c r="D352" s="128"/>
      <c r="E352" s="128"/>
      <c r="F352" s="128"/>
      <c r="G352" s="128"/>
      <c r="H352" s="128"/>
      <c r="I352" s="12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</row>
    <row r="353" ht="10.5" customHeight="1">
      <c r="A353" s="127"/>
      <c r="B353" s="118"/>
      <c r="C353" s="128"/>
      <c r="D353" s="128"/>
      <c r="E353" s="128"/>
      <c r="F353" s="128"/>
      <c r="G353" s="128"/>
      <c r="H353" s="128"/>
      <c r="I353" s="12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</row>
    <row r="354" ht="10.5" customHeight="1">
      <c r="A354" s="127"/>
      <c r="B354" s="118"/>
      <c r="C354" s="128"/>
      <c r="D354" s="128"/>
      <c r="E354" s="128"/>
      <c r="F354" s="128"/>
      <c r="G354" s="128"/>
      <c r="H354" s="128"/>
      <c r="I354" s="12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</row>
    <row r="355" ht="10.5" customHeight="1">
      <c r="A355" s="127"/>
      <c r="B355" s="118"/>
      <c r="C355" s="128"/>
      <c r="D355" s="128"/>
      <c r="E355" s="128"/>
      <c r="F355" s="128"/>
      <c r="G355" s="128"/>
      <c r="H355" s="128"/>
      <c r="I355" s="12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</row>
    <row r="356" ht="10.5" customHeight="1">
      <c r="A356" s="127"/>
      <c r="B356" s="118"/>
      <c r="C356" s="128"/>
      <c r="D356" s="128"/>
      <c r="E356" s="128"/>
      <c r="F356" s="128"/>
      <c r="G356" s="128"/>
      <c r="H356" s="128"/>
      <c r="I356" s="12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</row>
    <row r="357" ht="10.5" customHeight="1">
      <c r="A357" s="127"/>
      <c r="B357" s="118"/>
      <c r="C357" s="128"/>
      <c r="D357" s="128"/>
      <c r="E357" s="128"/>
      <c r="F357" s="128"/>
      <c r="G357" s="128"/>
      <c r="H357" s="128"/>
      <c r="I357" s="12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</row>
    <row r="358" ht="10.5" customHeight="1">
      <c r="A358" s="127"/>
      <c r="B358" s="118"/>
      <c r="C358" s="128"/>
      <c r="D358" s="128"/>
      <c r="E358" s="128"/>
      <c r="F358" s="128"/>
      <c r="G358" s="128"/>
      <c r="H358" s="128"/>
      <c r="I358" s="12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</row>
    <row r="359" ht="10.5" customHeight="1">
      <c r="A359" s="127"/>
      <c r="B359" s="118"/>
      <c r="C359" s="128"/>
      <c r="D359" s="128"/>
      <c r="E359" s="128"/>
      <c r="F359" s="128"/>
      <c r="G359" s="128"/>
      <c r="H359" s="128"/>
      <c r="I359" s="12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</row>
    <row r="360" ht="10.5" customHeight="1">
      <c r="A360" s="127"/>
      <c r="B360" s="118"/>
      <c r="C360" s="128"/>
      <c r="D360" s="128"/>
      <c r="E360" s="128"/>
      <c r="F360" s="128"/>
      <c r="G360" s="128"/>
      <c r="H360" s="128"/>
      <c r="I360" s="12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</row>
    <row r="361" ht="10.5" customHeight="1">
      <c r="A361" s="127"/>
      <c r="B361" s="118"/>
      <c r="C361" s="128"/>
      <c r="D361" s="128"/>
      <c r="E361" s="128"/>
      <c r="F361" s="128"/>
      <c r="G361" s="128"/>
      <c r="H361" s="128"/>
      <c r="I361" s="12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</row>
    <row r="362" ht="10.5" customHeight="1">
      <c r="A362" s="127"/>
      <c r="B362" s="118"/>
      <c r="C362" s="128"/>
      <c r="D362" s="128"/>
      <c r="E362" s="128"/>
      <c r="F362" s="128"/>
      <c r="G362" s="128"/>
      <c r="H362" s="128"/>
      <c r="I362" s="12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</row>
    <row r="363" ht="10.5" customHeight="1">
      <c r="A363" s="127"/>
      <c r="B363" s="118"/>
      <c r="C363" s="128"/>
      <c r="D363" s="128"/>
      <c r="E363" s="128"/>
      <c r="F363" s="128"/>
      <c r="G363" s="128"/>
      <c r="H363" s="128"/>
      <c r="I363" s="12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</row>
    <row r="364" ht="10.5" customHeight="1">
      <c r="A364" s="127"/>
      <c r="B364" s="118"/>
      <c r="C364" s="128"/>
      <c r="D364" s="128"/>
      <c r="E364" s="128"/>
      <c r="F364" s="128"/>
      <c r="G364" s="128"/>
      <c r="H364" s="128"/>
      <c r="I364" s="12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</row>
    <row r="365" ht="10.5" customHeight="1">
      <c r="A365" s="127"/>
      <c r="B365" s="118"/>
      <c r="C365" s="128"/>
      <c r="D365" s="128"/>
      <c r="E365" s="128"/>
      <c r="F365" s="128"/>
      <c r="G365" s="128"/>
      <c r="H365" s="128"/>
      <c r="I365" s="12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</row>
    <row r="366" ht="10.5" customHeight="1">
      <c r="A366" s="127"/>
      <c r="B366" s="118"/>
      <c r="C366" s="128"/>
      <c r="D366" s="128"/>
      <c r="E366" s="128"/>
      <c r="F366" s="128"/>
      <c r="G366" s="128"/>
      <c r="H366" s="128"/>
      <c r="I366" s="12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</row>
    <row r="367" ht="10.5" customHeight="1">
      <c r="A367" s="127"/>
      <c r="B367" s="118"/>
      <c r="C367" s="128"/>
      <c r="D367" s="128"/>
      <c r="E367" s="128"/>
      <c r="F367" s="128"/>
      <c r="G367" s="128"/>
      <c r="H367" s="128"/>
      <c r="I367" s="12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</row>
    <row r="368" ht="10.5" customHeight="1">
      <c r="A368" s="127"/>
      <c r="B368" s="118"/>
      <c r="C368" s="128"/>
      <c r="D368" s="128"/>
      <c r="E368" s="128"/>
      <c r="F368" s="128"/>
      <c r="G368" s="128"/>
      <c r="H368" s="128"/>
      <c r="I368" s="12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</row>
    <row r="369" ht="10.5" customHeight="1">
      <c r="A369" s="127"/>
      <c r="B369" s="118"/>
      <c r="C369" s="128"/>
      <c r="D369" s="128"/>
      <c r="E369" s="128"/>
      <c r="F369" s="128"/>
      <c r="G369" s="128"/>
      <c r="H369" s="128"/>
      <c r="I369" s="12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</row>
    <row r="370" ht="10.5" customHeight="1">
      <c r="A370" s="127"/>
      <c r="B370" s="118"/>
      <c r="C370" s="128"/>
      <c r="D370" s="128"/>
      <c r="E370" s="128"/>
      <c r="F370" s="128"/>
      <c r="G370" s="128"/>
      <c r="H370" s="128"/>
      <c r="I370" s="12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</row>
    <row r="371" ht="10.5" customHeight="1">
      <c r="A371" s="127"/>
      <c r="B371" s="118"/>
      <c r="C371" s="128"/>
      <c r="D371" s="128"/>
      <c r="E371" s="128"/>
      <c r="F371" s="128"/>
      <c r="G371" s="128"/>
      <c r="H371" s="128"/>
      <c r="I371" s="12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</row>
    <row r="372" ht="10.5" customHeight="1">
      <c r="A372" s="127"/>
      <c r="B372" s="118"/>
      <c r="C372" s="128"/>
      <c r="D372" s="128"/>
      <c r="E372" s="128"/>
      <c r="F372" s="128"/>
      <c r="G372" s="128"/>
      <c r="H372" s="128"/>
      <c r="I372" s="12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</row>
    <row r="373" ht="10.5" customHeight="1">
      <c r="A373" s="127"/>
      <c r="B373" s="118"/>
      <c r="C373" s="128"/>
      <c r="D373" s="128"/>
      <c r="E373" s="128"/>
      <c r="F373" s="128"/>
      <c r="G373" s="128"/>
      <c r="H373" s="128"/>
      <c r="I373" s="12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</row>
    <row r="374" ht="10.5" customHeight="1">
      <c r="A374" s="127"/>
      <c r="B374" s="118"/>
      <c r="C374" s="128"/>
      <c r="D374" s="128"/>
      <c r="E374" s="128"/>
      <c r="F374" s="128"/>
      <c r="G374" s="128"/>
      <c r="H374" s="128"/>
      <c r="I374" s="12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</row>
    <row r="375" ht="10.5" customHeight="1">
      <c r="A375" s="127"/>
      <c r="B375" s="118"/>
      <c r="C375" s="128"/>
      <c r="D375" s="128"/>
      <c r="E375" s="128"/>
      <c r="F375" s="128"/>
      <c r="G375" s="128"/>
      <c r="H375" s="128"/>
      <c r="I375" s="12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</row>
    <row r="376" ht="10.5" customHeight="1">
      <c r="A376" s="127"/>
      <c r="B376" s="118"/>
      <c r="C376" s="128"/>
      <c r="D376" s="128"/>
      <c r="E376" s="128"/>
      <c r="F376" s="128"/>
      <c r="G376" s="128"/>
      <c r="H376" s="128"/>
      <c r="I376" s="12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</row>
    <row r="377" ht="10.5" customHeight="1">
      <c r="A377" s="127"/>
      <c r="B377" s="118"/>
      <c r="C377" s="128"/>
      <c r="D377" s="128"/>
      <c r="E377" s="128"/>
      <c r="F377" s="128"/>
      <c r="G377" s="128"/>
      <c r="H377" s="128"/>
      <c r="I377" s="12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</row>
    <row r="378" ht="10.5" customHeight="1">
      <c r="A378" s="127"/>
      <c r="B378" s="118"/>
      <c r="C378" s="128"/>
      <c r="D378" s="128"/>
      <c r="E378" s="128"/>
      <c r="F378" s="128"/>
      <c r="G378" s="128"/>
      <c r="H378" s="128"/>
      <c r="I378" s="12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</row>
    <row r="379" ht="10.5" customHeight="1">
      <c r="A379" s="127"/>
      <c r="B379" s="118"/>
      <c r="C379" s="128"/>
      <c r="D379" s="128"/>
      <c r="E379" s="128"/>
      <c r="F379" s="128"/>
      <c r="G379" s="128"/>
      <c r="H379" s="128"/>
      <c r="I379" s="12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</row>
    <row r="380" ht="10.5" customHeight="1">
      <c r="A380" s="127"/>
      <c r="B380" s="118"/>
      <c r="C380" s="128"/>
      <c r="D380" s="128"/>
      <c r="E380" s="128"/>
      <c r="F380" s="128"/>
      <c r="G380" s="128"/>
      <c r="H380" s="128"/>
      <c r="I380" s="12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</row>
    <row r="381" ht="10.5" customHeight="1">
      <c r="A381" s="127"/>
      <c r="B381" s="118"/>
      <c r="C381" s="128"/>
      <c r="D381" s="128"/>
      <c r="E381" s="128"/>
      <c r="F381" s="128"/>
      <c r="G381" s="128"/>
      <c r="H381" s="128"/>
      <c r="I381" s="12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</row>
    <row r="382" ht="10.5" customHeight="1">
      <c r="A382" s="127"/>
      <c r="B382" s="118"/>
      <c r="C382" s="128"/>
      <c r="D382" s="128"/>
      <c r="E382" s="128"/>
      <c r="F382" s="128"/>
      <c r="G382" s="128"/>
      <c r="H382" s="128"/>
      <c r="I382" s="12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</row>
    <row r="383" ht="10.5" customHeight="1">
      <c r="A383" s="127"/>
      <c r="B383" s="118"/>
      <c r="C383" s="128"/>
      <c r="D383" s="128"/>
      <c r="E383" s="128"/>
      <c r="F383" s="128"/>
      <c r="G383" s="128"/>
      <c r="H383" s="128"/>
      <c r="I383" s="12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</row>
    <row r="384" ht="10.5" customHeight="1">
      <c r="A384" s="127"/>
      <c r="B384" s="118"/>
      <c r="C384" s="128"/>
      <c r="D384" s="128"/>
      <c r="E384" s="128"/>
      <c r="F384" s="128"/>
      <c r="G384" s="128"/>
      <c r="H384" s="128"/>
      <c r="I384" s="12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</row>
    <row r="385" ht="10.5" customHeight="1">
      <c r="A385" s="127"/>
      <c r="B385" s="118"/>
      <c r="C385" s="128"/>
      <c r="D385" s="128"/>
      <c r="E385" s="128"/>
      <c r="F385" s="128"/>
      <c r="G385" s="128"/>
      <c r="H385" s="128"/>
      <c r="I385" s="12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</row>
    <row r="386" ht="10.5" customHeight="1">
      <c r="A386" s="127"/>
      <c r="B386" s="118"/>
      <c r="C386" s="128"/>
      <c r="D386" s="128"/>
      <c r="E386" s="128"/>
      <c r="F386" s="128"/>
      <c r="G386" s="128"/>
      <c r="H386" s="128"/>
      <c r="I386" s="12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</row>
    <row r="387" ht="10.5" customHeight="1">
      <c r="A387" s="127"/>
      <c r="B387" s="118"/>
      <c r="C387" s="128"/>
      <c r="D387" s="128"/>
      <c r="E387" s="128"/>
      <c r="F387" s="128"/>
      <c r="G387" s="128"/>
      <c r="H387" s="128"/>
      <c r="I387" s="12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</row>
    <row r="388" ht="10.5" customHeight="1">
      <c r="A388" s="127"/>
      <c r="B388" s="118"/>
      <c r="C388" s="128"/>
      <c r="D388" s="128"/>
      <c r="E388" s="128"/>
      <c r="F388" s="128"/>
      <c r="G388" s="128"/>
      <c r="H388" s="128"/>
      <c r="I388" s="12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</row>
    <row r="389" ht="10.5" customHeight="1">
      <c r="A389" s="127"/>
      <c r="B389" s="118"/>
      <c r="C389" s="128"/>
      <c r="D389" s="128"/>
      <c r="E389" s="128"/>
      <c r="F389" s="128"/>
      <c r="G389" s="128"/>
      <c r="H389" s="128"/>
      <c r="I389" s="12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</row>
    <row r="390" ht="10.5" customHeight="1">
      <c r="A390" s="127"/>
      <c r="B390" s="118"/>
      <c r="C390" s="128"/>
      <c r="D390" s="128"/>
      <c r="E390" s="128"/>
      <c r="F390" s="128"/>
      <c r="G390" s="128"/>
      <c r="H390" s="128"/>
      <c r="I390" s="12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</row>
    <row r="391" ht="10.5" customHeight="1">
      <c r="A391" s="127"/>
      <c r="B391" s="118"/>
      <c r="C391" s="128"/>
      <c r="D391" s="128"/>
      <c r="E391" s="128"/>
      <c r="F391" s="128"/>
      <c r="G391" s="128"/>
      <c r="H391" s="128"/>
      <c r="I391" s="12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</row>
    <row r="392" ht="10.5" customHeight="1">
      <c r="A392" s="127"/>
      <c r="B392" s="118"/>
      <c r="C392" s="128"/>
      <c r="D392" s="128"/>
      <c r="E392" s="128"/>
      <c r="F392" s="128"/>
      <c r="G392" s="128"/>
      <c r="H392" s="128"/>
      <c r="I392" s="12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</row>
    <row r="393" ht="10.5" customHeight="1">
      <c r="A393" s="127"/>
      <c r="B393" s="118"/>
      <c r="C393" s="128"/>
      <c r="D393" s="128"/>
      <c r="E393" s="128"/>
      <c r="F393" s="128"/>
      <c r="G393" s="128"/>
      <c r="H393" s="128"/>
      <c r="I393" s="12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</row>
    <row r="394" ht="10.5" customHeight="1">
      <c r="A394" s="127"/>
      <c r="B394" s="118"/>
      <c r="C394" s="128"/>
      <c r="D394" s="128"/>
      <c r="E394" s="128"/>
      <c r="F394" s="128"/>
      <c r="G394" s="128"/>
      <c r="H394" s="128"/>
      <c r="I394" s="12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</row>
    <row r="395" ht="10.5" customHeight="1">
      <c r="A395" s="127"/>
      <c r="B395" s="118"/>
      <c r="C395" s="128"/>
      <c r="D395" s="128"/>
      <c r="E395" s="128"/>
      <c r="F395" s="128"/>
      <c r="G395" s="128"/>
      <c r="H395" s="128"/>
      <c r="I395" s="12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</row>
    <row r="396" ht="10.5" customHeight="1">
      <c r="A396" s="127"/>
      <c r="B396" s="118"/>
      <c r="C396" s="128"/>
      <c r="D396" s="128"/>
      <c r="E396" s="128"/>
      <c r="F396" s="128"/>
      <c r="G396" s="128"/>
      <c r="H396" s="128"/>
      <c r="I396" s="12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</row>
    <row r="397" ht="10.5" customHeight="1">
      <c r="A397" s="127"/>
      <c r="B397" s="118"/>
      <c r="C397" s="128"/>
      <c r="D397" s="128"/>
      <c r="E397" s="128"/>
      <c r="F397" s="128"/>
      <c r="G397" s="128"/>
      <c r="H397" s="128"/>
      <c r="I397" s="12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</row>
    <row r="398" ht="10.5" customHeight="1">
      <c r="A398" s="127"/>
      <c r="B398" s="118"/>
      <c r="C398" s="128"/>
      <c r="D398" s="128"/>
      <c r="E398" s="128"/>
      <c r="F398" s="128"/>
      <c r="G398" s="128"/>
      <c r="H398" s="128"/>
      <c r="I398" s="12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</row>
    <row r="399" ht="10.5" customHeight="1">
      <c r="A399" s="127"/>
      <c r="B399" s="118"/>
      <c r="C399" s="128"/>
      <c r="D399" s="128"/>
      <c r="E399" s="128"/>
      <c r="F399" s="128"/>
      <c r="G399" s="128"/>
      <c r="H399" s="128"/>
      <c r="I399" s="12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</row>
    <row r="400" ht="10.5" customHeight="1">
      <c r="A400" s="127"/>
      <c r="B400" s="118"/>
      <c r="C400" s="128"/>
      <c r="D400" s="128"/>
      <c r="E400" s="128"/>
      <c r="F400" s="128"/>
      <c r="G400" s="128"/>
      <c r="H400" s="128"/>
      <c r="I400" s="12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</row>
    <row r="401" ht="10.5" customHeight="1">
      <c r="A401" s="127"/>
      <c r="B401" s="118"/>
      <c r="C401" s="128"/>
      <c r="D401" s="128"/>
      <c r="E401" s="128"/>
      <c r="F401" s="128"/>
      <c r="G401" s="128"/>
      <c r="H401" s="128"/>
      <c r="I401" s="12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</row>
    <row r="402" ht="10.5" customHeight="1">
      <c r="A402" s="127"/>
      <c r="B402" s="118"/>
      <c r="C402" s="128"/>
      <c r="D402" s="128"/>
      <c r="E402" s="128"/>
      <c r="F402" s="128"/>
      <c r="G402" s="128"/>
      <c r="H402" s="128"/>
      <c r="I402" s="12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</row>
    <row r="403" ht="10.5" customHeight="1">
      <c r="A403" s="127"/>
      <c r="B403" s="118"/>
      <c r="C403" s="128"/>
      <c r="D403" s="128"/>
      <c r="E403" s="128"/>
      <c r="F403" s="128"/>
      <c r="G403" s="128"/>
      <c r="H403" s="128"/>
      <c r="I403" s="12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</row>
    <row r="404" ht="10.5" customHeight="1">
      <c r="A404" s="127"/>
      <c r="B404" s="118"/>
      <c r="C404" s="128"/>
      <c r="D404" s="128"/>
      <c r="E404" s="128"/>
      <c r="F404" s="128"/>
      <c r="G404" s="128"/>
      <c r="H404" s="128"/>
      <c r="I404" s="12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</row>
    <row r="405" ht="10.5" customHeight="1">
      <c r="A405" s="127"/>
      <c r="B405" s="118"/>
      <c r="C405" s="128"/>
      <c r="D405" s="128"/>
      <c r="E405" s="128"/>
      <c r="F405" s="128"/>
      <c r="G405" s="128"/>
      <c r="H405" s="128"/>
      <c r="I405" s="12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</row>
    <row r="406" ht="10.5" customHeight="1">
      <c r="A406" s="127"/>
      <c r="B406" s="118"/>
      <c r="C406" s="128"/>
      <c r="D406" s="128"/>
      <c r="E406" s="128"/>
      <c r="F406" s="128"/>
      <c r="G406" s="128"/>
      <c r="H406" s="128"/>
      <c r="I406" s="12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</row>
    <row r="407" ht="10.5" customHeight="1">
      <c r="A407" s="127"/>
      <c r="B407" s="118"/>
      <c r="C407" s="128"/>
      <c r="D407" s="128"/>
      <c r="E407" s="128"/>
      <c r="F407" s="128"/>
      <c r="G407" s="128"/>
      <c r="H407" s="128"/>
      <c r="I407" s="12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</row>
    <row r="408" ht="10.5" customHeight="1">
      <c r="A408" s="127"/>
      <c r="B408" s="118"/>
      <c r="C408" s="128"/>
      <c r="D408" s="128"/>
      <c r="E408" s="128"/>
      <c r="F408" s="128"/>
      <c r="G408" s="128"/>
      <c r="H408" s="128"/>
      <c r="I408" s="12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</row>
    <row r="409" ht="10.5" customHeight="1">
      <c r="A409" s="127"/>
      <c r="B409" s="118"/>
      <c r="C409" s="128"/>
      <c r="D409" s="128"/>
      <c r="E409" s="128"/>
      <c r="F409" s="128"/>
      <c r="G409" s="128"/>
      <c r="H409" s="128"/>
      <c r="I409" s="12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</row>
    <row r="410" ht="10.5" customHeight="1">
      <c r="A410" s="127"/>
      <c r="B410" s="118"/>
      <c r="C410" s="128"/>
      <c r="D410" s="128"/>
      <c r="E410" s="128"/>
      <c r="F410" s="128"/>
      <c r="G410" s="128"/>
      <c r="H410" s="128"/>
      <c r="I410" s="12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</row>
    <row r="411" ht="10.5" customHeight="1">
      <c r="A411" s="127"/>
      <c r="B411" s="118"/>
      <c r="C411" s="128"/>
      <c r="D411" s="128"/>
      <c r="E411" s="128"/>
      <c r="F411" s="128"/>
      <c r="G411" s="128"/>
      <c r="H411" s="128"/>
      <c r="I411" s="12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</row>
    <row r="412" ht="10.5" customHeight="1">
      <c r="A412" s="127"/>
      <c r="B412" s="118"/>
      <c r="C412" s="128"/>
      <c r="D412" s="128"/>
      <c r="E412" s="128"/>
      <c r="F412" s="128"/>
      <c r="G412" s="128"/>
      <c r="H412" s="128"/>
      <c r="I412" s="12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</row>
    <row r="413" ht="10.5" customHeight="1">
      <c r="A413" s="127"/>
      <c r="B413" s="118"/>
      <c r="C413" s="128"/>
      <c r="D413" s="128"/>
      <c r="E413" s="128"/>
      <c r="F413" s="128"/>
      <c r="G413" s="128"/>
      <c r="H413" s="128"/>
      <c r="I413" s="12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</row>
    <row r="414" ht="10.5" customHeight="1">
      <c r="A414" s="127"/>
      <c r="B414" s="118"/>
      <c r="C414" s="128"/>
      <c r="D414" s="128"/>
      <c r="E414" s="128"/>
      <c r="F414" s="128"/>
      <c r="G414" s="128"/>
      <c r="H414" s="128"/>
      <c r="I414" s="12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</row>
    <row r="415" ht="10.5" customHeight="1">
      <c r="A415" s="127"/>
      <c r="B415" s="118"/>
      <c r="C415" s="128"/>
      <c r="D415" s="128"/>
      <c r="E415" s="128"/>
      <c r="F415" s="128"/>
      <c r="G415" s="128"/>
      <c r="H415" s="128"/>
      <c r="I415" s="12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</row>
    <row r="416" ht="10.5" customHeight="1">
      <c r="A416" s="127"/>
      <c r="B416" s="118"/>
      <c r="C416" s="128"/>
      <c r="D416" s="128"/>
      <c r="E416" s="128"/>
      <c r="F416" s="128"/>
      <c r="G416" s="128"/>
      <c r="H416" s="128"/>
      <c r="I416" s="12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</row>
    <row r="417" ht="10.5" customHeight="1">
      <c r="A417" s="127"/>
      <c r="B417" s="118"/>
      <c r="C417" s="128"/>
      <c r="D417" s="128"/>
      <c r="E417" s="128"/>
      <c r="F417" s="128"/>
      <c r="G417" s="128"/>
      <c r="H417" s="128"/>
      <c r="I417" s="12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</row>
    <row r="418" ht="10.5" customHeight="1">
      <c r="A418" s="127"/>
      <c r="B418" s="118"/>
      <c r="C418" s="128"/>
      <c r="D418" s="128"/>
      <c r="E418" s="128"/>
      <c r="F418" s="128"/>
      <c r="G418" s="128"/>
      <c r="H418" s="128"/>
      <c r="I418" s="12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</row>
    <row r="419" ht="10.5" customHeight="1">
      <c r="A419" s="127"/>
      <c r="B419" s="118"/>
      <c r="C419" s="128"/>
      <c r="D419" s="128"/>
      <c r="E419" s="128"/>
      <c r="F419" s="128"/>
      <c r="G419" s="128"/>
      <c r="H419" s="128"/>
      <c r="I419" s="12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</row>
    <row r="420" ht="10.5" customHeight="1">
      <c r="A420" s="127"/>
      <c r="B420" s="118"/>
      <c r="C420" s="128"/>
      <c r="D420" s="128"/>
      <c r="E420" s="128"/>
      <c r="F420" s="128"/>
      <c r="G420" s="128"/>
      <c r="H420" s="128"/>
      <c r="I420" s="12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</row>
    <row r="421" ht="10.5" customHeight="1">
      <c r="A421" s="127"/>
      <c r="B421" s="118"/>
      <c r="C421" s="128"/>
      <c r="D421" s="128"/>
      <c r="E421" s="128"/>
      <c r="F421" s="128"/>
      <c r="G421" s="128"/>
      <c r="H421" s="128"/>
      <c r="I421" s="12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</row>
    <row r="422" ht="10.5" customHeight="1">
      <c r="A422" s="127"/>
      <c r="B422" s="118"/>
      <c r="C422" s="128"/>
      <c r="D422" s="128"/>
      <c r="E422" s="128"/>
      <c r="F422" s="128"/>
      <c r="G422" s="128"/>
      <c r="H422" s="128"/>
      <c r="I422" s="12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</row>
    <row r="423" ht="10.5" customHeight="1">
      <c r="A423" s="127"/>
      <c r="B423" s="118"/>
      <c r="C423" s="128"/>
      <c r="D423" s="128"/>
      <c r="E423" s="128"/>
      <c r="F423" s="128"/>
      <c r="G423" s="128"/>
      <c r="H423" s="128"/>
      <c r="I423" s="12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</row>
    <row r="424" ht="10.5" customHeight="1">
      <c r="A424" s="127"/>
      <c r="B424" s="118"/>
      <c r="C424" s="128"/>
      <c r="D424" s="128"/>
      <c r="E424" s="128"/>
      <c r="F424" s="128"/>
      <c r="G424" s="128"/>
      <c r="H424" s="128"/>
      <c r="I424" s="12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</row>
    <row r="425" ht="10.5" customHeight="1">
      <c r="A425" s="127"/>
      <c r="B425" s="118"/>
      <c r="C425" s="128"/>
      <c r="D425" s="128"/>
      <c r="E425" s="128"/>
      <c r="F425" s="128"/>
      <c r="G425" s="128"/>
      <c r="H425" s="128"/>
      <c r="I425" s="12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</row>
    <row r="426" ht="10.5" customHeight="1">
      <c r="A426" s="127"/>
      <c r="B426" s="118"/>
      <c r="C426" s="128"/>
      <c r="D426" s="128"/>
      <c r="E426" s="128"/>
      <c r="F426" s="128"/>
      <c r="G426" s="128"/>
      <c r="H426" s="128"/>
      <c r="I426" s="12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</row>
    <row r="427" ht="10.5" customHeight="1">
      <c r="A427" s="127"/>
      <c r="B427" s="118"/>
      <c r="C427" s="128"/>
      <c r="D427" s="128"/>
      <c r="E427" s="128"/>
      <c r="F427" s="128"/>
      <c r="G427" s="128"/>
      <c r="H427" s="128"/>
      <c r="I427" s="12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</row>
    <row r="428" ht="10.5" customHeight="1">
      <c r="A428" s="127"/>
      <c r="B428" s="118"/>
      <c r="C428" s="128"/>
      <c r="D428" s="128"/>
      <c r="E428" s="128"/>
      <c r="F428" s="128"/>
      <c r="G428" s="128"/>
      <c r="H428" s="128"/>
      <c r="I428" s="12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</row>
    <row r="429" ht="10.5" customHeight="1">
      <c r="A429" s="127"/>
      <c r="B429" s="118"/>
      <c r="C429" s="128"/>
      <c r="D429" s="128"/>
      <c r="E429" s="128"/>
      <c r="F429" s="128"/>
      <c r="G429" s="128"/>
      <c r="H429" s="128"/>
      <c r="I429" s="12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</row>
    <row r="430" ht="10.5" customHeight="1">
      <c r="A430" s="127"/>
      <c r="B430" s="118"/>
      <c r="C430" s="128"/>
      <c r="D430" s="128"/>
      <c r="E430" s="128"/>
      <c r="F430" s="128"/>
      <c r="G430" s="128"/>
      <c r="H430" s="128"/>
      <c r="I430" s="12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</row>
    <row r="431" ht="10.5" customHeight="1">
      <c r="A431" s="127"/>
      <c r="B431" s="118"/>
      <c r="C431" s="128"/>
      <c r="D431" s="128"/>
      <c r="E431" s="128"/>
      <c r="F431" s="128"/>
      <c r="G431" s="128"/>
      <c r="H431" s="128"/>
      <c r="I431" s="12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</row>
    <row r="432" ht="10.5" customHeight="1">
      <c r="A432" s="127"/>
      <c r="B432" s="118"/>
      <c r="C432" s="128"/>
      <c r="D432" s="128"/>
      <c r="E432" s="128"/>
      <c r="F432" s="128"/>
      <c r="G432" s="128"/>
      <c r="H432" s="128"/>
      <c r="I432" s="12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</row>
    <row r="433" ht="10.5" customHeight="1">
      <c r="A433" s="127"/>
      <c r="B433" s="118"/>
      <c r="C433" s="128"/>
      <c r="D433" s="128"/>
      <c r="E433" s="128"/>
      <c r="F433" s="128"/>
      <c r="G433" s="128"/>
      <c r="H433" s="128"/>
      <c r="I433" s="12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</row>
    <row r="434" ht="10.5" customHeight="1">
      <c r="A434" s="127"/>
      <c r="B434" s="118"/>
      <c r="C434" s="128"/>
      <c r="D434" s="128"/>
      <c r="E434" s="128"/>
      <c r="F434" s="128"/>
      <c r="G434" s="128"/>
      <c r="H434" s="128"/>
      <c r="I434" s="12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</row>
    <row r="435" ht="10.5" customHeight="1">
      <c r="A435" s="127"/>
      <c r="B435" s="118"/>
      <c r="C435" s="128"/>
      <c r="D435" s="128"/>
      <c r="E435" s="128"/>
      <c r="F435" s="128"/>
      <c r="G435" s="128"/>
      <c r="H435" s="128"/>
      <c r="I435" s="12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</row>
    <row r="436" ht="10.5" customHeight="1">
      <c r="A436" s="127"/>
      <c r="B436" s="118"/>
      <c r="C436" s="128"/>
      <c r="D436" s="128"/>
      <c r="E436" s="128"/>
      <c r="F436" s="128"/>
      <c r="G436" s="128"/>
      <c r="H436" s="128"/>
      <c r="I436" s="12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</row>
    <row r="437" ht="10.5" customHeight="1">
      <c r="A437" s="127"/>
      <c r="B437" s="118"/>
      <c r="C437" s="128"/>
      <c r="D437" s="128"/>
      <c r="E437" s="128"/>
      <c r="F437" s="128"/>
      <c r="G437" s="128"/>
      <c r="H437" s="128"/>
      <c r="I437" s="12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</row>
    <row r="438" ht="10.5" customHeight="1">
      <c r="A438" s="127"/>
      <c r="B438" s="118"/>
      <c r="C438" s="128"/>
      <c r="D438" s="128"/>
      <c r="E438" s="128"/>
      <c r="F438" s="128"/>
      <c r="G438" s="128"/>
      <c r="H438" s="128"/>
      <c r="I438" s="12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</row>
    <row r="439" ht="10.5" customHeight="1">
      <c r="A439" s="127"/>
      <c r="B439" s="118"/>
      <c r="C439" s="128"/>
      <c r="D439" s="128"/>
      <c r="E439" s="128"/>
      <c r="F439" s="128"/>
      <c r="G439" s="128"/>
      <c r="H439" s="128"/>
      <c r="I439" s="12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</row>
    <row r="440" ht="10.5" customHeight="1">
      <c r="A440" s="127"/>
      <c r="B440" s="118"/>
      <c r="C440" s="128"/>
      <c r="D440" s="128"/>
      <c r="E440" s="128"/>
      <c r="F440" s="128"/>
      <c r="G440" s="128"/>
      <c r="H440" s="128"/>
      <c r="I440" s="12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</row>
    <row r="441" ht="10.5" customHeight="1">
      <c r="A441" s="127"/>
      <c r="B441" s="118"/>
      <c r="C441" s="128"/>
      <c r="D441" s="128"/>
      <c r="E441" s="128"/>
      <c r="F441" s="128"/>
      <c r="G441" s="128"/>
      <c r="H441" s="128"/>
      <c r="I441" s="12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</row>
    <row r="442" ht="10.5" customHeight="1">
      <c r="A442" s="127"/>
      <c r="B442" s="118"/>
      <c r="C442" s="128"/>
      <c r="D442" s="128"/>
      <c r="E442" s="128"/>
      <c r="F442" s="128"/>
      <c r="G442" s="128"/>
      <c r="H442" s="128"/>
      <c r="I442" s="12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</row>
    <row r="443" ht="10.5" customHeight="1">
      <c r="A443" s="127"/>
      <c r="B443" s="118"/>
      <c r="C443" s="128"/>
      <c r="D443" s="128"/>
      <c r="E443" s="128"/>
      <c r="F443" s="128"/>
      <c r="G443" s="128"/>
      <c r="H443" s="128"/>
      <c r="I443" s="12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</row>
    <row r="444" ht="10.5" customHeight="1">
      <c r="A444" s="127"/>
      <c r="B444" s="118"/>
      <c r="C444" s="128"/>
      <c r="D444" s="128"/>
      <c r="E444" s="128"/>
      <c r="F444" s="128"/>
      <c r="G444" s="128"/>
      <c r="H444" s="128"/>
      <c r="I444" s="12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</row>
    <row r="445" ht="10.5" customHeight="1">
      <c r="A445" s="127"/>
      <c r="B445" s="118"/>
      <c r="C445" s="128"/>
      <c r="D445" s="128"/>
      <c r="E445" s="128"/>
      <c r="F445" s="128"/>
      <c r="G445" s="128"/>
      <c r="H445" s="128"/>
      <c r="I445" s="12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</row>
    <row r="446" ht="10.5" customHeight="1">
      <c r="A446" s="127"/>
      <c r="B446" s="118"/>
      <c r="C446" s="128"/>
      <c r="D446" s="128"/>
      <c r="E446" s="128"/>
      <c r="F446" s="128"/>
      <c r="G446" s="128"/>
      <c r="H446" s="128"/>
      <c r="I446" s="12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</row>
    <row r="447" ht="10.5" customHeight="1">
      <c r="A447" s="127"/>
      <c r="B447" s="118"/>
      <c r="C447" s="128"/>
      <c r="D447" s="128"/>
      <c r="E447" s="128"/>
      <c r="F447" s="128"/>
      <c r="G447" s="128"/>
      <c r="H447" s="128"/>
      <c r="I447" s="12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</row>
    <row r="448" ht="10.5" customHeight="1">
      <c r="A448" s="127"/>
      <c r="B448" s="118"/>
      <c r="C448" s="128"/>
      <c r="D448" s="128"/>
      <c r="E448" s="128"/>
      <c r="F448" s="128"/>
      <c r="G448" s="128"/>
      <c r="H448" s="128"/>
      <c r="I448" s="12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</row>
    <row r="449" ht="10.5" customHeight="1">
      <c r="A449" s="127"/>
      <c r="B449" s="118"/>
      <c r="C449" s="128"/>
      <c r="D449" s="128"/>
      <c r="E449" s="128"/>
      <c r="F449" s="128"/>
      <c r="G449" s="128"/>
      <c r="H449" s="128"/>
      <c r="I449" s="12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</row>
    <row r="450" ht="10.5" customHeight="1">
      <c r="A450" s="127"/>
      <c r="B450" s="118"/>
      <c r="C450" s="128"/>
      <c r="D450" s="128"/>
      <c r="E450" s="128"/>
      <c r="F450" s="128"/>
      <c r="G450" s="128"/>
      <c r="H450" s="128"/>
      <c r="I450" s="12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</row>
    <row r="451" ht="10.5" customHeight="1">
      <c r="A451" s="127"/>
      <c r="B451" s="118"/>
      <c r="C451" s="128"/>
      <c r="D451" s="128"/>
      <c r="E451" s="128"/>
      <c r="F451" s="128"/>
      <c r="G451" s="128"/>
      <c r="H451" s="128"/>
      <c r="I451" s="12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</row>
    <row r="452" ht="10.5" customHeight="1">
      <c r="A452" s="127"/>
      <c r="B452" s="118"/>
      <c r="C452" s="128"/>
      <c r="D452" s="128"/>
      <c r="E452" s="128"/>
      <c r="F452" s="128"/>
      <c r="G452" s="128"/>
      <c r="H452" s="128"/>
      <c r="I452" s="12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</row>
    <row r="453" ht="10.5" customHeight="1">
      <c r="A453" s="127"/>
      <c r="B453" s="118"/>
      <c r="C453" s="128"/>
      <c r="D453" s="128"/>
      <c r="E453" s="128"/>
      <c r="F453" s="128"/>
      <c r="G453" s="128"/>
      <c r="H453" s="128"/>
      <c r="I453" s="12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</row>
    <row r="454" ht="10.5" customHeight="1">
      <c r="A454" s="127"/>
      <c r="B454" s="118"/>
      <c r="C454" s="128"/>
      <c r="D454" s="128"/>
      <c r="E454" s="128"/>
      <c r="F454" s="128"/>
      <c r="G454" s="128"/>
      <c r="H454" s="128"/>
      <c r="I454" s="12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</row>
    <row r="455" ht="10.5" customHeight="1">
      <c r="A455" s="127"/>
      <c r="B455" s="118"/>
      <c r="C455" s="128"/>
      <c r="D455" s="128"/>
      <c r="E455" s="128"/>
      <c r="F455" s="128"/>
      <c r="G455" s="128"/>
      <c r="H455" s="128"/>
      <c r="I455" s="12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</row>
    <row r="456" ht="10.5" customHeight="1">
      <c r="A456" s="127"/>
      <c r="B456" s="118"/>
      <c r="C456" s="128"/>
      <c r="D456" s="128"/>
      <c r="E456" s="128"/>
      <c r="F456" s="128"/>
      <c r="G456" s="128"/>
      <c r="H456" s="128"/>
      <c r="I456" s="12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</row>
    <row r="457" ht="10.5" customHeight="1">
      <c r="A457" s="127"/>
      <c r="B457" s="118"/>
      <c r="C457" s="128"/>
      <c r="D457" s="128"/>
      <c r="E457" s="128"/>
      <c r="F457" s="128"/>
      <c r="G457" s="128"/>
      <c r="H457" s="128"/>
      <c r="I457" s="12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</row>
    <row r="458" ht="10.5" customHeight="1">
      <c r="A458" s="127"/>
      <c r="B458" s="118"/>
      <c r="C458" s="128"/>
      <c r="D458" s="128"/>
      <c r="E458" s="128"/>
      <c r="F458" s="128"/>
      <c r="G458" s="128"/>
      <c r="H458" s="128"/>
      <c r="I458" s="12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</row>
    <row r="459" ht="10.5" customHeight="1">
      <c r="A459" s="127"/>
      <c r="B459" s="118"/>
      <c r="C459" s="128"/>
      <c r="D459" s="128"/>
      <c r="E459" s="128"/>
      <c r="F459" s="128"/>
      <c r="G459" s="128"/>
      <c r="H459" s="128"/>
      <c r="I459" s="12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</row>
    <row r="460" ht="10.5" customHeight="1">
      <c r="A460" s="127"/>
      <c r="B460" s="118"/>
      <c r="C460" s="128"/>
      <c r="D460" s="128"/>
      <c r="E460" s="128"/>
      <c r="F460" s="128"/>
      <c r="G460" s="128"/>
      <c r="H460" s="128"/>
      <c r="I460" s="12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</row>
    <row r="461" ht="10.5" customHeight="1">
      <c r="A461" s="127"/>
      <c r="B461" s="118"/>
      <c r="C461" s="128"/>
      <c r="D461" s="128"/>
      <c r="E461" s="128"/>
      <c r="F461" s="128"/>
      <c r="G461" s="128"/>
      <c r="H461" s="128"/>
      <c r="I461" s="12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</row>
    <row r="462" ht="10.5" customHeight="1">
      <c r="A462" s="127"/>
      <c r="B462" s="118"/>
      <c r="C462" s="128"/>
      <c r="D462" s="128"/>
      <c r="E462" s="128"/>
      <c r="F462" s="128"/>
      <c r="G462" s="128"/>
      <c r="H462" s="128"/>
      <c r="I462" s="12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</row>
    <row r="463" ht="10.5" customHeight="1">
      <c r="A463" s="127"/>
      <c r="B463" s="118"/>
      <c r="C463" s="128"/>
      <c r="D463" s="128"/>
      <c r="E463" s="128"/>
      <c r="F463" s="128"/>
      <c r="G463" s="128"/>
      <c r="H463" s="128"/>
      <c r="I463" s="12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</row>
    <row r="464" ht="10.5" customHeight="1">
      <c r="A464" s="127"/>
      <c r="B464" s="118"/>
      <c r="C464" s="128"/>
      <c r="D464" s="128"/>
      <c r="E464" s="128"/>
      <c r="F464" s="128"/>
      <c r="G464" s="128"/>
      <c r="H464" s="128"/>
      <c r="I464" s="12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</row>
    <row r="465" ht="10.5" customHeight="1">
      <c r="A465" s="127"/>
      <c r="B465" s="118"/>
      <c r="C465" s="128"/>
      <c r="D465" s="128"/>
      <c r="E465" s="128"/>
      <c r="F465" s="128"/>
      <c r="G465" s="128"/>
      <c r="H465" s="128"/>
      <c r="I465" s="12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</row>
    <row r="466" ht="10.5" customHeight="1">
      <c r="A466" s="127"/>
      <c r="B466" s="118"/>
      <c r="C466" s="128"/>
      <c r="D466" s="128"/>
      <c r="E466" s="128"/>
      <c r="F466" s="128"/>
      <c r="G466" s="128"/>
      <c r="H466" s="128"/>
      <c r="I466" s="12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</row>
    <row r="467" ht="10.5" customHeight="1">
      <c r="A467" s="127"/>
      <c r="B467" s="118"/>
      <c r="C467" s="128"/>
      <c r="D467" s="128"/>
      <c r="E467" s="128"/>
      <c r="F467" s="128"/>
      <c r="G467" s="128"/>
      <c r="H467" s="128"/>
      <c r="I467" s="12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</row>
    <row r="468" ht="10.5" customHeight="1">
      <c r="A468" s="127"/>
      <c r="B468" s="118"/>
      <c r="C468" s="128"/>
      <c r="D468" s="128"/>
      <c r="E468" s="128"/>
      <c r="F468" s="128"/>
      <c r="G468" s="128"/>
      <c r="H468" s="128"/>
      <c r="I468" s="12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</row>
    <row r="469" ht="10.5" customHeight="1">
      <c r="A469" s="127"/>
      <c r="B469" s="118"/>
      <c r="C469" s="128"/>
      <c r="D469" s="128"/>
      <c r="E469" s="128"/>
      <c r="F469" s="128"/>
      <c r="G469" s="128"/>
      <c r="H469" s="128"/>
      <c r="I469" s="12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</row>
    <row r="470" ht="10.5" customHeight="1">
      <c r="A470" s="127"/>
      <c r="B470" s="118"/>
      <c r="C470" s="128"/>
      <c r="D470" s="128"/>
      <c r="E470" s="128"/>
      <c r="F470" s="128"/>
      <c r="G470" s="128"/>
      <c r="H470" s="128"/>
      <c r="I470" s="12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</row>
    <row r="471" ht="10.5" customHeight="1">
      <c r="A471" s="127"/>
      <c r="B471" s="118"/>
      <c r="C471" s="128"/>
      <c r="D471" s="128"/>
      <c r="E471" s="128"/>
      <c r="F471" s="128"/>
      <c r="G471" s="128"/>
      <c r="H471" s="128"/>
      <c r="I471" s="12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</row>
    <row r="472" ht="10.5" customHeight="1">
      <c r="A472" s="127"/>
      <c r="B472" s="118"/>
      <c r="C472" s="128"/>
      <c r="D472" s="128"/>
      <c r="E472" s="128"/>
      <c r="F472" s="128"/>
      <c r="G472" s="128"/>
      <c r="H472" s="128"/>
      <c r="I472" s="12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</row>
    <row r="473" ht="10.5" customHeight="1">
      <c r="A473" s="127"/>
      <c r="B473" s="118"/>
      <c r="C473" s="128"/>
      <c r="D473" s="128"/>
      <c r="E473" s="128"/>
      <c r="F473" s="128"/>
      <c r="G473" s="128"/>
      <c r="H473" s="128"/>
      <c r="I473" s="12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</row>
    <row r="474" ht="10.5" customHeight="1">
      <c r="A474" s="127"/>
      <c r="B474" s="118"/>
      <c r="C474" s="128"/>
      <c r="D474" s="128"/>
      <c r="E474" s="128"/>
      <c r="F474" s="128"/>
      <c r="G474" s="128"/>
      <c r="H474" s="128"/>
      <c r="I474" s="12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</row>
    <row r="475" ht="10.5" customHeight="1">
      <c r="A475" s="127"/>
      <c r="B475" s="118"/>
      <c r="C475" s="128"/>
      <c r="D475" s="128"/>
      <c r="E475" s="128"/>
      <c r="F475" s="128"/>
      <c r="G475" s="128"/>
      <c r="H475" s="128"/>
      <c r="I475" s="12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</row>
    <row r="476" ht="10.5" customHeight="1">
      <c r="A476" s="127"/>
      <c r="B476" s="118"/>
      <c r="C476" s="128"/>
      <c r="D476" s="128"/>
      <c r="E476" s="128"/>
      <c r="F476" s="128"/>
      <c r="G476" s="128"/>
      <c r="H476" s="128"/>
      <c r="I476" s="12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</row>
    <row r="477" ht="10.5" customHeight="1">
      <c r="A477" s="127"/>
      <c r="B477" s="118"/>
      <c r="C477" s="128"/>
      <c r="D477" s="128"/>
      <c r="E477" s="128"/>
      <c r="F477" s="128"/>
      <c r="G477" s="128"/>
      <c r="H477" s="128"/>
      <c r="I477" s="12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</row>
    <row r="478" ht="10.5" customHeight="1">
      <c r="A478" s="127"/>
      <c r="B478" s="118"/>
      <c r="C478" s="128"/>
      <c r="D478" s="128"/>
      <c r="E478" s="128"/>
      <c r="F478" s="128"/>
      <c r="G478" s="128"/>
      <c r="H478" s="128"/>
      <c r="I478" s="12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</row>
    <row r="479" ht="10.5" customHeight="1">
      <c r="A479" s="127"/>
      <c r="B479" s="118"/>
      <c r="C479" s="128"/>
      <c r="D479" s="128"/>
      <c r="E479" s="128"/>
      <c r="F479" s="128"/>
      <c r="G479" s="128"/>
      <c r="H479" s="128"/>
      <c r="I479" s="12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</row>
    <row r="480" ht="10.5" customHeight="1">
      <c r="A480" s="127"/>
      <c r="B480" s="118"/>
      <c r="C480" s="128"/>
      <c r="D480" s="128"/>
      <c r="E480" s="128"/>
      <c r="F480" s="128"/>
      <c r="G480" s="128"/>
      <c r="H480" s="128"/>
      <c r="I480" s="12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</row>
    <row r="481" ht="10.5" customHeight="1">
      <c r="A481" s="127"/>
      <c r="B481" s="118"/>
      <c r="C481" s="128"/>
      <c r="D481" s="128"/>
      <c r="E481" s="128"/>
      <c r="F481" s="128"/>
      <c r="G481" s="128"/>
      <c r="H481" s="128"/>
      <c r="I481" s="12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</row>
    <row r="482" ht="10.5" customHeight="1">
      <c r="A482" s="127"/>
      <c r="B482" s="118"/>
      <c r="C482" s="128"/>
      <c r="D482" s="128"/>
      <c r="E482" s="128"/>
      <c r="F482" s="128"/>
      <c r="G482" s="128"/>
      <c r="H482" s="128"/>
      <c r="I482" s="12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</row>
    <row r="483" ht="10.5" customHeight="1">
      <c r="A483" s="127"/>
      <c r="B483" s="118"/>
      <c r="C483" s="128"/>
      <c r="D483" s="128"/>
      <c r="E483" s="128"/>
      <c r="F483" s="128"/>
      <c r="G483" s="128"/>
      <c r="H483" s="128"/>
      <c r="I483" s="12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</row>
    <row r="484" ht="10.5" customHeight="1">
      <c r="A484" s="127"/>
      <c r="B484" s="118"/>
      <c r="C484" s="128"/>
      <c r="D484" s="128"/>
      <c r="E484" s="128"/>
      <c r="F484" s="128"/>
      <c r="G484" s="128"/>
      <c r="H484" s="128"/>
      <c r="I484" s="12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</row>
    <row r="485" ht="10.5" customHeight="1">
      <c r="A485" s="127"/>
      <c r="B485" s="118"/>
      <c r="C485" s="128"/>
      <c r="D485" s="128"/>
      <c r="E485" s="128"/>
      <c r="F485" s="128"/>
      <c r="G485" s="128"/>
      <c r="H485" s="128"/>
      <c r="I485" s="12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</row>
    <row r="486" ht="10.5" customHeight="1">
      <c r="A486" s="127"/>
      <c r="B486" s="118"/>
      <c r="C486" s="128"/>
      <c r="D486" s="128"/>
      <c r="E486" s="128"/>
      <c r="F486" s="128"/>
      <c r="G486" s="128"/>
      <c r="H486" s="128"/>
      <c r="I486" s="12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</row>
    <row r="487" ht="10.5" customHeight="1">
      <c r="A487" s="127"/>
      <c r="B487" s="118"/>
      <c r="C487" s="128"/>
      <c r="D487" s="128"/>
      <c r="E487" s="128"/>
      <c r="F487" s="128"/>
      <c r="G487" s="128"/>
      <c r="H487" s="128"/>
      <c r="I487" s="12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</row>
    <row r="488" ht="10.5" customHeight="1">
      <c r="A488" s="127"/>
      <c r="B488" s="118"/>
      <c r="C488" s="128"/>
      <c r="D488" s="128"/>
      <c r="E488" s="128"/>
      <c r="F488" s="128"/>
      <c r="G488" s="128"/>
      <c r="H488" s="128"/>
      <c r="I488" s="12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</row>
    <row r="489" ht="10.5" customHeight="1">
      <c r="A489" s="127"/>
      <c r="B489" s="118"/>
      <c r="C489" s="128"/>
      <c r="D489" s="128"/>
      <c r="E489" s="128"/>
      <c r="F489" s="128"/>
      <c r="G489" s="128"/>
      <c r="H489" s="128"/>
      <c r="I489" s="12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</row>
    <row r="490" ht="10.5" customHeight="1">
      <c r="A490" s="127"/>
      <c r="B490" s="118"/>
      <c r="C490" s="128"/>
      <c r="D490" s="128"/>
      <c r="E490" s="128"/>
      <c r="F490" s="128"/>
      <c r="G490" s="128"/>
      <c r="H490" s="128"/>
      <c r="I490" s="12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</row>
    <row r="491" ht="10.5" customHeight="1">
      <c r="A491" s="127"/>
      <c r="B491" s="118"/>
      <c r="C491" s="128"/>
      <c r="D491" s="128"/>
      <c r="E491" s="128"/>
      <c r="F491" s="128"/>
      <c r="G491" s="128"/>
      <c r="H491" s="128"/>
      <c r="I491" s="12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</row>
    <row r="492" ht="10.5" customHeight="1">
      <c r="A492" s="127"/>
      <c r="B492" s="118"/>
      <c r="C492" s="128"/>
      <c r="D492" s="128"/>
      <c r="E492" s="128"/>
      <c r="F492" s="128"/>
      <c r="G492" s="128"/>
      <c r="H492" s="128"/>
      <c r="I492" s="12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</row>
    <row r="493" ht="10.5" customHeight="1">
      <c r="A493" s="127"/>
      <c r="B493" s="118"/>
      <c r="C493" s="128"/>
      <c r="D493" s="128"/>
      <c r="E493" s="128"/>
      <c r="F493" s="128"/>
      <c r="G493" s="128"/>
      <c r="H493" s="128"/>
      <c r="I493" s="12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</row>
    <row r="494" ht="10.5" customHeight="1">
      <c r="A494" s="127"/>
      <c r="B494" s="118"/>
      <c r="C494" s="128"/>
      <c r="D494" s="128"/>
      <c r="E494" s="128"/>
      <c r="F494" s="128"/>
      <c r="G494" s="128"/>
      <c r="H494" s="128"/>
      <c r="I494" s="12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</row>
    <row r="495" ht="10.5" customHeight="1">
      <c r="A495" s="127"/>
      <c r="B495" s="118"/>
      <c r="C495" s="128"/>
      <c r="D495" s="128"/>
      <c r="E495" s="128"/>
      <c r="F495" s="128"/>
      <c r="G495" s="128"/>
      <c r="H495" s="128"/>
      <c r="I495" s="12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</row>
    <row r="496" ht="10.5" customHeight="1">
      <c r="A496" s="127"/>
      <c r="B496" s="118"/>
      <c r="C496" s="128"/>
      <c r="D496" s="128"/>
      <c r="E496" s="128"/>
      <c r="F496" s="128"/>
      <c r="G496" s="128"/>
      <c r="H496" s="128"/>
      <c r="I496" s="12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</row>
    <row r="497" ht="10.5" customHeight="1">
      <c r="A497" s="127"/>
      <c r="B497" s="118"/>
      <c r="C497" s="128"/>
      <c r="D497" s="128"/>
      <c r="E497" s="128"/>
      <c r="F497" s="128"/>
      <c r="G497" s="128"/>
      <c r="H497" s="128"/>
      <c r="I497" s="12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</row>
    <row r="498" ht="10.5" customHeight="1">
      <c r="A498" s="127"/>
      <c r="B498" s="118"/>
      <c r="C498" s="128"/>
      <c r="D498" s="128"/>
      <c r="E498" s="128"/>
      <c r="F498" s="128"/>
      <c r="G498" s="128"/>
      <c r="H498" s="128"/>
      <c r="I498" s="12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</row>
    <row r="499" ht="10.5" customHeight="1">
      <c r="A499" s="127"/>
      <c r="B499" s="118"/>
      <c r="C499" s="128"/>
      <c r="D499" s="128"/>
      <c r="E499" s="128"/>
      <c r="F499" s="128"/>
      <c r="G499" s="128"/>
      <c r="H499" s="128"/>
      <c r="I499" s="12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</row>
    <row r="500" ht="10.5" customHeight="1">
      <c r="A500" s="127"/>
      <c r="B500" s="118"/>
      <c r="C500" s="128"/>
      <c r="D500" s="128"/>
      <c r="E500" s="128"/>
      <c r="F500" s="128"/>
      <c r="G500" s="128"/>
      <c r="H500" s="128"/>
      <c r="I500" s="12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</row>
    <row r="501" ht="10.5" customHeight="1">
      <c r="A501" s="127"/>
      <c r="B501" s="118"/>
      <c r="C501" s="128"/>
      <c r="D501" s="128"/>
      <c r="E501" s="128"/>
      <c r="F501" s="128"/>
      <c r="G501" s="128"/>
      <c r="H501" s="128"/>
      <c r="I501" s="12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</row>
    <row r="502" ht="10.5" customHeight="1">
      <c r="A502" s="127"/>
      <c r="B502" s="118"/>
      <c r="C502" s="128"/>
      <c r="D502" s="128"/>
      <c r="E502" s="128"/>
      <c r="F502" s="128"/>
      <c r="G502" s="128"/>
      <c r="H502" s="128"/>
      <c r="I502" s="12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</row>
    <row r="503" ht="10.5" customHeight="1">
      <c r="A503" s="127"/>
      <c r="B503" s="118"/>
      <c r="C503" s="128"/>
      <c r="D503" s="128"/>
      <c r="E503" s="128"/>
      <c r="F503" s="128"/>
      <c r="G503" s="128"/>
      <c r="H503" s="128"/>
      <c r="I503" s="12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</row>
    <row r="504" ht="10.5" customHeight="1">
      <c r="A504" s="127"/>
      <c r="B504" s="118"/>
      <c r="C504" s="128"/>
      <c r="D504" s="128"/>
      <c r="E504" s="128"/>
      <c r="F504" s="128"/>
      <c r="G504" s="128"/>
      <c r="H504" s="128"/>
      <c r="I504" s="12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</row>
    <row r="505" ht="10.5" customHeight="1">
      <c r="A505" s="127"/>
      <c r="B505" s="118"/>
      <c r="C505" s="128"/>
      <c r="D505" s="128"/>
      <c r="E505" s="128"/>
      <c r="F505" s="128"/>
      <c r="G505" s="128"/>
      <c r="H505" s="128"/>
      <c r="I505" s="12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</row>
    <row r="506" ht="10.5" customHeight="1">
      <c r="A506" s="127"/>
      <c r="B506" s="118"/>
      <c r="C506" s="128"/>
      <c r="D506" s="128"/>
      <c r="E506" s="128"/>
      <c r="F506" s="128"/>
      <c r="G506" s="128"/>
      <c r="H506" s="128"/>
      <c r="I506" s="12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</row>
    <row r="507" ht="10.5" customHeight="1">
      <c r="A507" s="127"/>
      <c r="B507" s="118"/>
      <c r="C507" s="128"/>
      <c r="D507" s="128"/>
      <c r="E507" s="128"/>
      <c r="F507" s="128"/>
      <c r="G507" s="128"/>
      <c r="H507" s="128"/>
      <c r="I507" s="12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</row>
    <row r="508" ht="10.5" customHeight="1">
      <c r="A508" s="127"/>
      <c r="B508" s="118"/>
      <c r="C508" s="128"/>
      <c r="D508" s="128"/>
      <c r="E508" s="128"/>
      <c r="F508" s="128"/>
      <c r="G508" s="128"/>
      <c r="H508" s="128"/>
      <c r="I508" s="12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</row>
    <row r="509" ht="10.5" customHeight="1">
      <c r="A509" s="127"/>
      <c r="B509" s="118"/>
      <c r="C509" s="128"/>
      <c r="D509" s="128"/>
      <c r="E509" s="128"/>
      <c r="F509" s="128"/>
      <c r="G509" s="128"/>
      <c r="H509" s="128"/>
      <c r="I509" s="12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</row>
    <row r="510" ht="10.5" customHeight="1">
      <c r="A510" s="127"/>
      <c r="B510" s="118"/>
      <c r="C510" s="128"/>
      <c r="D510" s="128"/>
      <c r="E510" s="128"/>
      <c r="F510" s="128"/>
      <c r="G510" s="128"/>
      <c r="H510" s="128"/>
      <c r="I510" s="12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</row>
    <row r="511" ht="10.5" customHeight="1">
      <c r="A511" s="127"/>
      <c r="B511" s="118"/>
      <c r="C511" s="128"/>
      <c r="D511" s="128"/>
      <c r="E511" s="128"/>
      <c r="F511" s="128"/>
      <c r="G511" s="128"/>
      <c r="H511" s="128"/>
      <c r="I511" s="12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</row>
    <row r="512" ht="10.5" customHeight="1">
      <c r="A512" s="127"/>
      <c r="B512" s="118"/>
      <c r="C512" s="128"/>
      <c r="D512" s="128"/>
      <c r="E512" s="128"/>
      <c r="F512" s="128"/>
      <c r="G512" s="128"/>
      <c r="H512" s="128"/>
      <c r="I512" s="12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</row>
    <row r="513" ht="10.5" customHeight="1">
      <c r="A513" s="127"/>
      <c r="B513" s="118"/>
      <c r="C513" s="128"/>
      <c r="D513" s="128"/>
      <c r="E513" s="128"/>
      <c r="F513" s="128"/>
      <c r="G513" s="128"/>
      <c r="H513" s="128"/>
      <c r="I513" s="12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</row>
    <row r="514" ht="10.5" customHeight="1">
      <c r="A514" s="127"/>
      <c r="B514" s="118"/>
      <c r="C514" s="128"/>
      <c r="D514" s="128"/>
      <c r="E514" s="128"/>
      <c r="F514" s="128"/>
      <c r="G514" s="128"/>
      <c r="H514" s="128"/>
      <c r="I514" s="12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</row>
    <row r="515" ht="10.5" customHeight="1">
      <c r="A515" s="127"/>
      <c r="B515" s="118"/>
      <c r="C515" s="128"/>
      <c r="D515" s="128"/>
      <c r="E515" s="128"/>
      <c r="F515" s="128"/>
      <c r="G515" s="128"/>
      <c r="H515" s="128"/>
      <c r="I515" s="12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</row>
    <row r="516" ht="10.5" customHeight="1">
      <c r="A516" s="127"/>
      <c r="B516" s="118"/>
      <c r="C516" s="128"/>
      <c r="D516" s="128"/>
      <c r="E516" s="128"/>
      <c r="F516" s="128"/>
      <c r="G516" s="128"/>
      <c r="H516" s="128"/>
      <c r="I516" s="12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</row>
    <row r="517" ht="10.5" customHeight="1">
      <c r="A517" s="127"/>
      <c r="B517" s="118"/>
      <c r="C517" s="128"/>
      <c r="D517" s="128"/>
      <c r="E517" s="128"/>
      <c r="F517" s="128"/>
      <c r="G517" s="128"/>
      <c r="H517" s="128"/>
      <c r="I517" s="12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</row>
    <row r="518" ht="10.5" customHeight="1">
      <c r="A518" s="127"/>
      <c r="B518" s="118"/>
      <c r="C518" s="128"/>
      <c r="D518" s="128"/>
      <c r="E518" s="128"/>
      <c r="F518" s="128"/>
      <c r="G518" s="128"/>
      <c r="H518" s="128"/>
      <c r="I518" s="12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</row>
    <row r="519" ht="10.5" customHeight="1">
      <c r="A519" s="127"/>
      <c r="B519" s="118"/>
      <c r="C519" s="128"/>
      <c r="D519" s="128"/>
      <c r="E519" s="128"/>
      <c r="F519" s="128"/>
      <c r="G519" s="128"/>
      <c r="H519" s="128"/>
      <c r="I519" s="12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</row>
    <row r="520" ht="10.5" customHeight="1">
      <c r="A520" s="127"/>
      <c r="B520" s="118"/>
      <c r="C520" s="128"/>
      <c r="D520" s="128"/>
      <c r="E520" s="128"/>
      <c r="F520" s="128"/>
      <c r="G520" s="128"/>
      <c r="H520" s="128"/>
      <c r="I520" s="12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</row>
    <row r="521" ht="10.5" customHeight="1">
      <c r="A521" s="127"/>
      <c r="B521" s="118"/>
      <c r="C521" s="128"/>
      <c r="D521" s="128"/>
      <c r="E521" s="128"/>
      <c r="F521" s="128"/>
      <c r="G521" s="128"/>
      <c r="H521" s="128"/>
      <c r="I521" s="12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</row>
    <row r="522" ht="10.5" customHeight="1">
      <c r="A522" s="127"/>
      <c r="B522" s="118"/>
      <c r="C522" s="128"/>
      <c r="D522" s="128"/>
      <c r="E522" s="128"/>
      <c r="F522" s="128"/>
      <c r="G522" s="128"/>
      <c r="H522" s="128"/>
      <c r="I522" s="12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</row>
    <row r="523" ht="10.5" customHeight="1">
      <c r="A523" s="127"/>
      <c r="B523" s="118"/>
      <c r="C523" s="128"/>
      <c r="D523" s="128"/>
      <c r="E523" s="128"/>
      <c r="F523" s="128"/>
      <c r="G523" s="128"/>
      <c r="H523" s="128"/>
      <c r="I523" s="12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</row>
    <row r="524" ht="10.5" customHeight="1">
      <c r="A524" s="127"/>
      <c r="B524" s="118"/>
      <c r="C524" s="128"/>
      <c r="D524" s="128"/>
      <c r="E524" s="128"/>
      <c r="F524" s="128"/>
      <c r="G524" s="128"/>
      <c r="H524" s="128"/>
      <c r="I524" s="12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</row>
    <row r="525" ht="10.5" customHeight="1">
      <c r="A525" s="127"/>
      <c r="B525" s="118"/>
      <c r="C525" s="128"/>
      <c r="D525" s="128"/>
      <c r="E525" s="128"/>
      <c r="F525" s="128"/>
      <c r="G525" s="128"/>
      <c r="H525" s="128"/>
      <c r="I525" s="12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</row>
    <row r="526" ht="10.5" customHeight="1">
      <c r="A526" s="127"/>
      <c r="B526" s="118"/>
      <c r="C526" s="128"/>
      <c r="D526" s="128"/>
      <c r="E526" s="128"/>
      <c r="F526" s="128"/>
      <c r="G526" s="128"/>
      <c r="H526" s="128"/>
      <c r="I526" s="12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</row>
    <row r="527" ht="10.5" customHeight="1">
      <c r="A527" s="127"/>
      <c r="B527" s="118"/>
      <c r="C527" s="128"/>
      <c r="D527" s="128"/>
      <c r="E527" s="128"/>
      <c r="F527" s="128"/>
      <c r="G527" s="128"/>
      <c r="H527" s="128"/>
      <c r="I527" s="12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</row>
    <row r="528" ht="10.5" customHeight="1">
      <c r="A528" s="127"/>
      <c r="B528" s="118"/>
      <c r="C528" s="128"/>
      <c r="D528" s="128"/>
      <c r="E528" s="128"/>
      <c r="F528" s="128"/>
      <c r="G528" s="128"/>
      <c r="H528" s="128"/>
      <c r="I528" s="12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</row>
    <row r="529" ht="10.5" customHeight="1">
      <c r="A529" s="127"/>
      <c r="B529" s="118"/>
      <c r="C529" s="128"/>
      <c r="D529" s="128"/>
      <c r="E529" s="128"/>
      <c r="F529" s="128"/>
      <c r="G529" s="128"/>
      <c r="H529" s="128"/>
      <c r="I529" s="12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</row>
    <row r="530" ht="10.5" customHeight="1">
      <c r="A530" s="127"/>
      <c r="B530" s="118"/>
      <c r="C530" s="128"/>
      <c r="D530" s="128"/>
      <c r="E530" s="128"/>
      <c r="F530" s="128"/>
      <c r="G530" s="128"/>
      <c r="H530" s="128"/>
      <c r="I530" s="12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</row>
    <row r="531" ht="10.5" customHeight="1">
      <c r="A531" s="127"/>
      <c r="B531" s="118"/>
      <c r="C531" s="128"/>
      <c r="D531" s="128"/>
      <c r="E531" s="128"/>
      <c r="F531" s="128"/>
      <c r="G531" s="128"/>
      <c r="H531" s="128"/>
      <c r="I531" s="12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</row>
    <row r="532" ht="10.5" customHeight="1">
      <c r="A532" s="127"/>
      <c r="B532" s="118"/>
      <c r="C532" s="128"/>
      <c r="D532" s="128"/>
      <c r="E532" s="128"/>
      <c r="F532" s="128"/>
      <c r="G532" s="128"/>
      <c r="H532" s="128"/>
      <c r="I532" s="12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</row>
    <row r="533" ht="10.5" customHeight="1">
      <c r="A533" s="127"/>
      <c r="B533" s="118"/>
      <c r="C533" s="128"/>
      <c r="D533" s="128"/>
      <c r="E533" s="128"/>
      <c r="F533" s="128"/>
      <c r="G533" s="128"/>
      <c r="H533" s="128"/>
      <c r="I533" s="12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</row>
    <row r="534" ht="10.5" customHeight="1">
      <c r="A534" s="127"/>
      <c r="B534" s="118"/>
      <c r="C534" s="128"/>
      <c r="D534" s="128"/>
      <c r="E534" s="128"/>
      <c r="F534" s="128"/>
      <c r="G534" s="128"/>
      <c r="H534" s="128"/>
      <c r="I534" s="12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</row>
    <row r="535" ht="10.5" customHeight="1">
      <c r="A535" s="127"/>
      <c r="B535" s="118"/>
      <c r="C535" s="128"/>
      <c r="D535" s="128"/>
      <c r="E535" s="128"/>
      <c r="F535" s="128"/>
      <c r="G535" s="128"/>
      <c r="H535" s="128"/>
      <c r="I535" s="12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</row>
    <row r="536" ht="10.5" customHeight="1">
      <c r="A536" s="127"/>
      <c r="B536" s="118"/>
      <c r="C536" s="128"/>
      <c r="D536" s="128"/>
      <c r="E536" s="128"/>
      <c r="F536" s="128"/>
      <c r="G536" s="128"/>
      <c r="H536" s="128"/>
      <c r="I536" s="12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</row>
    <row r="537" ht="10.5" customHeight="1">
      <c r="A537" s="127"/>
      <c r="B537" s="118"/>
      <c r="C537" s="128"/>
      <c r="D537" s="128"/>
      <c r="E537" s="128"/>
      <c r="F537" s="128"/>
      <c r="G537" s="128"/>
      <c r="H537" s="128"/>
      <c r="I537" s="12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</row>
    <row r="538" ht="10.5" customHeight="1">
      <c r="A538" s="127"/>
      <c r="B538" s="118"/>
      <c r="C538" s="128"/>
      <c r="D538" s="128"/>
      <c r="E538" s="128"/>
      <c r="F538" s="128"/>
      <c r="G538" s="128"/>
      <c r="H538" s="128"/>
      <c r="I538" s="12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</row>
    <row r="539" ht="10.5" customHeight="1">
      <c r="A539" s="127"/>
      <c r="B539" s="118"/>
      <c r="C539" s="128"/>
      <c r="D539" s="128"/>
      <c r="E539" s="128"/>
      <c r="F539" s="128"/>
      <c r="G539" s="128"/>
      <c r="H539" s="128"/>
      <c r="I539" s="12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</row>
    <row r="540" ht="10.5" customHeight="1">
      <c r="A540" s="127"/>
      <c r="B540" s="118"/>
      <c r="C540" s="128"/>
      <c r="D540" s="128"/>
      <c r="E540" s="128"/>
      <c r="F540" s="128"/>
      <c r="G540" s="128"/>
      <c r="H540" s="128"/>
      <c r="I540" s="12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</row>
    <row r="541" ht="10.5" customHeight="1">
      <c r="A541" s="127"/>
      <c r="B541" s="118"/>
      <c r="C541" s="128"/>
      <c r="D541" s="128"/>
      <c r="E541" s="128"/>
      <c r="F541" s="128"/>
      <c r="G541" s="128"/>
      <c r="H541" s="128"/>
      <c r="I541" s="12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</row>
    <row r="542" ht="10.5" customHeight="1">
      <c r="A542" s="127"/>
      <c r="B542" s="118"/>
      <c r="C542" s="128"/>
      <c r="D542" s="128"/>
      <c r="E542" s="128"/>
      <c r="F542" s="128"/>
      <c r="G542" s="128"/>
      <c r="H542" s="128"/>
      <c r="I542" s="12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</row>
    <row r="543" ht="10.5" customHeight="1">
      <c r="A543" s="127"/>
      <c r="B543" s="118"/>
      <c r="C543" s="128"/>
      <c r="D543" s="128"/>
      <c r="E543" s="128"/>
      <c r="F543" s="128"/>
      <c r="G543" s="128"/>
      <c r="H543" s="128"/>
      <c r="I543" s="12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</row>
    <row r="544" ht="10.5" customHeight="1">
      <c r="A544" s="127"/>
      <c r="B544" s="118"/>
      <c r="C544" s="128"/>
      <c r="D544" s="128"/>
      <c r="E544" s="128"/>
      <c r="F544" s="128"/>
      <c r="G544" s="128"/>
      <c r="H544" s="128"/>
      <c r="I544" s="12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</row>
    <row r="545" ht="10.5" customHeight="1">
      <c r="A545" s="127"/>
      <c r="B545" s="118"/>
      <c r="C545" s="128"/>
      <c r="D545" s="128"/>
      <c r="E545" s="128"/>
      <c r="F545" s="128"/>
      <c r="G545" s="128"/>
      <c r="H545" s="128"/>
      <c r="I545" s="12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</row>
    <row r="546" ht="10.5" customHeight="1">
      <c r="A546" s="127"/>
      <c r="B546" s="118"/>
      <c r="C546" s="128"/>
      <c r="D546" s="128"/>
      <c r="E546" s="128"/>
      <c r="F546" s="128"/>
      <c r="G546" s="128"/>
      <c r="H546" s="128"/>
      <c r="I546" s="12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</row>
    <row r="547" ht="10.5" customHeight="1">
      <c r="A547" s="127"/>
      <c r="B547" s="118"/>
      <c r="C547" s="128"/>
      <c r="D547" s="128"/>
      <c r="E547" s="128"/>
      <c r="F547" s="128"/>
      <c r="G547" s="128"/>
      <c r="H547" s="128"/>
      <c r="I547" s="12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</row>
    <row r="548" ht="10.5" customHeight="1">
      <c r="A548" s="127"/>
      <c r="B548" s="118"/>
      <c r="C548" s="128"/>
      <c r="D548" s="128"/>
      <c r="E548" s="128"/>
      <c r="F548" s="128"/>
      <c r="G548" s="128"/>
      <c r="H548" s="128"/>
      <c r="I548" s="12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</row>
    <row r="549" ht="10.5" customHeight="1">
      <c r="A549" s="127"/>
      <c r="B549" s="118"/>
      <c r="C549" s="128"/>
      <c r="D549" s="128"/>
      <c r="E549" s="128"/>
      <c r="F549" s="128"/>
      <c r="G549" s="128"/>
      <c r="H549" s="128"/>
      <c r="I549" s="12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</row>
    <row r="550" ht="10.5" customHeight="1">
      <c r="A550" s="127"/>
      <c r="B550" s="118"/>
      <c r="C550" s="128"/>
      <c r="D550" s="128"/>
      <c r="E550" s="128"/>
      <c r="F550" s="128"/>
      <c r="G550" s="128"/>
      <c r="H550" s="128"/>
      <c r="I550" s="12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</row>
    <row r="551" ht="10.5" customHeight="1">
      <c r="A551" s="127"/>
      <c r="B551" s="118"/>
      <c r="C551" s="128"/>
      <c r="D551" s="128"/>
      <c r="E551" s="128"/>
      <c r="F551" s="128"/>
      <c r="G551" s="128"/>
      <c r="H551" s="128"/>
      <c r="I551" s="12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</row>
    <row r="552" ht="10.5" customHeight="1">
      <c r="A552" s="127"/>
      <c r="B552" s="118"/>
      <c r="C552" s="128"/>
      <c r="D552" s="128"/>
      <c r="E552" s="128"/>
      <c r="F552" s="128"/>
      <c r="G552" s="128"/>
      <c r="H552" s="128"/>
      <c r="I552" s="12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</row>
    <row r="553" ht="10.5" customHeight="1">
      <c r="A553" s="127"/>
      <c r="B553" s="118"/>
      <c r="C553" s="128"/>
      <c r="D553" s="128"/>
      <c r="E553" s="128"/>
      <c r="F553" s="128"/>
      <c r="G553" s="128"/>
      <c r="H553" s="128"/>
      <c r="I553" s="12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</row>
    <row r="554" ht="10.5" customHeight="1">
      <c r="A554" s="127"/>
      <c r="B554" s="118"/>
      <c r="C554" s="128"/>
      <c r="D554" s="128"/>
      <c r="E554" s="128"/>
      <c r="F554" s="128"/>
      <c r="G554" s="128"/>
      <c r="H554" s="128"/>
      <c r="I554" s="12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</row>
    <row r="555" ht="10.5" customHeight="1">
      <c r="A555" s="127"/>
      <c r="B555" s="118"/>
      <c r="C555" s="128"/>
      <c r="D555" s="128"/>
      <c r="E555" s="128"/>
      <c r="F555" s="128"/>
      <c r="G555" s="128"/>
      <c r="H555" s="128"/>
      <c r="I555" s="12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</row>
    <row r="556" ht="10.5" customHeight="1">
      <c r="A556" s="127"/>
      <c r="B556" s="118"/>
      <c r="C556" s="128"/>
      <c r="D556" s="128"/>
      <c r="E556" s="128"/>
      <c r="F556" s="128"/>
      <c r="G556" s="128"/>
      <c r="H556" s="128"/>
      <c r="I556" s="12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</row>
    <row r="557" ht="10.5" customHeight="1">
      <c r="A557" s="127"/>
      <c r="B557" s="118"/>
      <c r="C557" s="128"/>
      <c r="D557" s="128"/>
      <c r="E557" s="128"/>
      <c r="F557" s="128"/>
      <c r="G557" s="128"/>
      <c r="H557" s="128"/>
      <c r="I557" s="12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</row>
    <row r="558" ht="10.5" customHeight="1">
      <c r="A558" s="127"/>
      <c r="B558" s="118"/>
      <c r="C558" s="128"/>
      <c r="D558" s="128"/>
      <c r="E558" s="128"/>
      <c r="F558" s="128"/>
      <c r="G558" s="128"/>
      <c r="H558" s="128"/>
      <c r="I558" s="12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</row>
    <row r="559" ht="10.5" customHeight="1">
      <c r="A559" s="127"/>
      <c r="B559" s="118"/>
      <c r="C559" s="128"/>
      <c r="D559" s="128"/>
      <c r="E559" s="128"/>
      <c r="F559" s="128"/>
      <c r="G559" s="128"/>
      <c r="H559" s="128"/>
      <c r="I559" s="12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</row>
    <row r="560" ht="10.5" customHeight="1">
      <c r="A560" s="127"/>
      <c r="B560" s="118"/>
      <c r="C560" s="128"/>
      <c r="D560" s="128"/>
      <c r="E560" s="128"/>
      <c r="F560" s="128"/>
      <c r="G560" s="128"/>
      <c r="H560" s="128"/>
      <c r="I560" s="12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</row>
    <row r="561" ht="10.5" customHeight="1">
      <c r="A561" s="127"/>
      <c r="B561" s="118"/>
      <c r="C561" s="128"/>
      <c r="D561" s="128"/>
      <c r="E561" s="128"/>
      <c r="F561" s="128"/>
      <c r="G561" s="128"/>
      <c r="H561" s="128"/>
      <c r="I561" s="12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</row>
    <row r="562" ht="10.5" customHeight="1">
      <c r="A562" s="127"/>
      <c r="B562" s="118"/>
      <c r="C562" s="128"/>
      <c r="D562" s="128"/>
      <c r="E562" s="128"/>
      <c r="F562" s="128"/>
      <c r="G562" s="128"/>
      <c r="H562" s="128"/>
      <c r="I562" s="12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</row>
    <row r="563" ht="10.5" customHeight="1">
      <c r="A563" s="127"/>
      <c r="B563" s="118"/>
      <c r="C563" s="128"/>
      <c r="D563" s="128"/>
      <c r="E563" s="128"/>
      <c r="F563" s="128"/>
      <c r="G563" s="128"/>
      <c r="H563" s="128"/>
      <c r="I563" s="12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</row>
    <row r="564" ht="10.5" customHeight="1">
      <c r="A564" s="127"/>
      <c r="B564" s="118"/>
      <c r="C564" s="128"/>
      <c r="D564" s="128"/>
      <c r="E564" s="128"/>
      <c r="F564" s="128"/>
      <c r="G564" s="128"/>
      <c r="H564" s="128"/>
      <c r="I564" s="12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</row>
    <row r="565" ht="10.5" customHeight="1">
      <c r="A565" s="127"/>
      <c r="B565" s="118"/>
      <c r="C565" s="128"/>
      <c r="D565" s="128"/>
      <c r="E565" s="128"/>
      <c r="F565" s="128"/>
      <c r="G565" s="128"/>
      <c r="H565" s="128"/>
      <c r="I565" s="12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</row>
    <row r="566" ht="10.5" customHeight="1">
      <c r="A566" s="127"/>
      <c r="B566" s="118"/>
      <c r="C566" s="128"/>
      <c r="D566" s="128"/>
      <c r="E566" s="128"/>
      <c r="F566" s="128"/>
      <c r="G566" s="128"/>
      <c r="H566" s="128"/>
      <c r="I566" s="12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</row>
    <row r="567" ht="10.5" customHeight="1">
      <c r="A567" s="127"/>
      <c r="B567" s="118"/>
      <c r="C567" s="128"/>
      <c r="D567" s="128"/>
      <c r="E567" s="128"/>
      <c r="F567" s="128"/>
      <c r="G567" s="128"/>
      <c r="H567" s="128"/>
      <c r="I567" s="12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</row>
    <row r="568" ht="10.5" customHeight="1">
      <c r="A568" s="127"/>
      <c r="B568" s="118"/>
      <c r="C568" s="128"/>
      <c r="D568" s="128"/>
      <c r="E568" s="128"/>
      <c r="F568" s="128"/>
      <c r="G568" s="128"/>
      <c r="H568" s="128"/>
      <c r="I568" s="12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</row>
    <row r="569" ht="10.5" customHeight="1">
      <c r="A569" s="127"/>
      <c r="B569" s="118"/>
      <c r="C569" s="128"/>
      <c r="D569" s="128"/>
      <c r="E569" s="128"/>
      <c r="F569" s="128"/>
      <c r="G569" s="128"/>
      <c r="H569" s="128"/>
      <c r="I569" s="12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</row>
    <row r="570" ht="10.5" customHeight="1">
      <c r="A570" s="127"/>
      <c r="B570" s="118"/>
      <c r="C570" s="128"/>
      <c r="D570" s="128"/>
      <c r="E570" s="128"/>
      <c r="F570" s="128"/>
      <c r="G570" s="128"/>
      <c r="H570" s="128"/>
      <c r="I570" s="12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</row>
    <row r="571" ht="10.5" customHeight="1">
      <c r="A571" s="127"/>
      <c r="B571" s="118"/>
      <c r="C571" s="128"/>
      <c r="D571" s="128"/>
      <c r="E571" s="128"/>
      <c r="F571" s="128"/>
      <c r="G571" s="128"/>
      <c r="H571" s="128"/>
      <c r="I571" s="12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</row>
    <row r="572" ht="10.5" customHeight="1">
      <c r="A572" s="127"/>
      <c r="B572" s="118"/>
      <c r="C572" s="128"/>
      <c r="D572" s="128"/>
      <c r="E572" s="128"/>
      <c r="F572" s="128"/>
      <c r="G572" s="128"/>
      <c r="H572" s="128"/>
      <c r="I572" s="12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</row>
    <row r="573" ht="10.5" customHeight="1">
      <c r="A573" s="127"/>
      <c r="B573" s="118"/>
      <c r="C573" s="128"/>
      <c r="D573" s="128"/>
      <c r="E573" s="128"/>
      <c r="F573" s="128"/>
      <c r="G573" s="128"/>
      <c r="H573" s="128"/>
      <c r="I573" s="12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</row>
    <row r="574" ht="10.5" customHeight="1">
      <c r="A574" s="127"/>
      <c r="B574" s="118"/>
      <c r="C574" s="128"/>
      <c r="D574" s="128"/>
      <c r="E574" s="128"/>
      <c r="F574" s="128"/>
      <c r="G574" s="128"/>
      <c r="H574" s="128"/>
      <c r="I574" s="12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</row>
    <row r="575" ht="10.5" customHeight="1">
      <c r="A575" s="127"/>
      <c r="B575" s="118"/>
      <c r="C575" s="128"/>
      <c r="D575" s="128"/>
      <c r="E575" s="128"/>
      <c r="F575" s="128"/>
      <c r="G575" s="128"/>
      <c r="H575" s="128"/>
      <c r="I575" s="12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</row>
    <row r="576" ht="10.5" customHeight="1">
      <c r="A576" s="127"/>
      <c r="B576" s="118"/>
      <c r="C576" s="128"/>
      <c r="D576" s="128"/>
      <c r="E576" s="128"/>
      <c r="F576" s="128"/>
      <c r="G576" s="128"/>
      <c r="H576" s="128"/>
      <c r="I576" s="12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</row>
    <row r="577" ht="10.5" customHeight="1">
      <c r="A577" s="127"/>
      <c r="B577" s="118"/>
      <c r="C577" s="128"/>
      <c r="D577" s="128"/>
      <c r="E577" s="128"/>
      <c r="F577" s="128"/>
      <c r="G577" s="128"/>
      <c r="H577" s="128"/>
      <c r="I577" s="12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</row>
    <row r="578" ht="10.5" customHeight="1">
      <c r="A578" s="127"/>
      <c r="B578" s="118"/>
      <c r="C578" s="128"/>
      <c r="D578" s="128"/>
      <c r="E578" s="128"/>
      <c r="F578" s="128"/>
      <c r="G578" s="128"/>
      <c r="H578" s="128"/>
      <c r="I578" s="12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</row>
    <row r="579" ht="10.5" customHeight="1">
      <c r="A579" s="127"/>
      <c r="B579" s="118"/>
      <c r="C579" s="128"/>
      <c r="D579" s="128"/>
      <c r="E579" s="128"/>
      <c r="F579" s="128"/>
      <c r="G579" s="128"/>
      <c r="H579" s="128"/>
      <c r="I579" s="12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</row>
    <row r="580" ht="10.5" customHeight="1">
      <c r="A580" s="127"/>
      <c r="B580" s="118"/>
      <c r="C580" s="128"/>
      <c r="D580" s="128"/>
      <c r="E580" s="128"/>
      <c r="F580" s="128"/>
      <c r="G580" s="128"/>
      <c r="H580" s="128"/>
      <c r="I580" s="12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</row>
    <row r="581" ht="10.5" customHeight="1">
      <c r="A581" s="127"/>
      <c r="B581" s="118"/>
      <c r="C581" s="128"/>
      <c r="D581" s="128"/>
      <c r="E581" s="128"/>
      <c r="F581" s="128"/>
      <c r="G581" s="128"/>
      <c r="H581" s="128"/>
      <c r="I581" s="12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</row>
    <row r="582" ht="10.5" customHeight="1">
      <c r="A582" s="127"/>
      <c r="B582" s="118"/>
      <c r="C582" s="128"/>
      <c r="D582" s="128"/>
      <c r="E582" s="128"/>
      <c r="F582" s="128"/>
      <c r="G582" s="128"/>
      <c r="H582" s="128"/>
      <c r="I582" s="12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</row>
    <row r="583" ht="10.5" customHeight="1">
      <c r="A583" s="127"/>
      <c r="B583" s="118"/>
      <c r="C583" s="128"/>
      <c r="D583" s="128"/>
      <c r="E583" s="128"/>
      <c r="F583" s="128"/>
      <c r="G583" s="128"/>
      <c r="H583" s="128"/>
      <c r="I583" s="12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</row>
    <row r="584" ht="10.5" customHeight="1">
      <c r="A584" s="127"/>
      <c r="B584" s="118"/>
      <c r="C584" s="128"/>
      <c r="D584" s="128"/>
      <c r="E584" s="128"/>
      <c r="F584" s="128"/>
      <c r="G584" s="128"/>
      <c r="H584" s="128"/>
      <c r="I584" s="12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</row>
    <row r="585" ht="10.5" customHeight="1">
      <c r="A585" s="127"/>
      <c r="B585" s="118"/>
      <c r="C585" s="128"/>
      <c r="D585" s="128"/>
      <c r="E585" s="128"/>
      <c r="F585" s="128"/>
      <c r="G585" s="128"/>
      <c r="H585" s="128"/>
      <c r="I585" s="12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</row>
    <row r="586" ht="10.5" customHeight="1">
      <c r="A586" s="127"/>
      <c r="B586" s="118"/>
      <c r="C586" s="128"/>
      <c r="D586" s="128"/>
      <c r="E586" s="128"/>
      <c r="F586" s="128"/>
      <c r="G586" s="128"/>
      <c r="H586" s="128"/>
      <c r="I586" s="12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</row>
    <row r="587" ht="10.5" customHeight="1">
      <c r="A587" s="127"/>
      <c r="B587" s="118"/>
      <c r="C587" s="128"/>
      <c r="D587" s="128"/>
      <c r="E587" s="128"/>
      <c r="F587" s="128"/>
      <c r="G587" s="128"/>
      <c r="H587" s="128"/>
      <c r="I587" s="12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</row>
    <row r="588" ht="10.5" customHeight="1">
      <c r="A588" s="127"/>
      <c r="B588" s="118"/>
      <c r="C588" s="128"/>
      <c r="D588" s="128"/>
      <c r="E588" s="128"/>
      <c r="F588" s="128"/>
      <c r="G588" s="128"/>
      <c r="H588" s="128"/>
      <c r="I588" s="12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</row>
    <row r="589" ht="10.5" customHeight="1">
      <c r="A589" s="127"/>
      <c r="B589" s="118"/>
      <c r="C589" s="128"/>
      <c r="D589" s="128"/>
      <c r="E589" s="128"/>
      <c r="F589" s="128"/>
      <c r="G589" s="128"/>
      <c r="H589" s="128"/>
      <c r="I589" s="12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</row>
    <row r="590" ht="10.5" customHeight="1">
      <c r="A590" s="127"/>
      <c r="B590" s="118"/>
      <c r="C590" s="128"/>
      <c r="D590" s="128"/>
      <c r="E590" s="128"/>
      <c r="F590" s="128"/>
      <c r="G590" s="128"/>
      <c r="H590" s="128"/>
      <c r="I590" s="12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</row>
    <row r="591" ht="10.5" customHeight="1">
      <c r="A591" s="127"/>
      <c r="B591" s="118"/>
      <c r="C591" s="128"/>
      <c r="D591" s="128"/>
      <c r="E591" s="128"/>
      <c r="F591" s="128"/>
      <c r="G591" s="128"/>
      <c r="H591" s="128"/>
      <c r="I591" s="12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</row>
    <row r="592" ht="10.5" customHeight="1">
      <c r="A592" s="127"/>
      <c r="B592" s="118"/>
      <c r="C592" s="128"/>
      <c r="D592" s="128"/>
      <c r="E592" s="128"/>
      <c r="F592" s="128"/>
      <c r="G592" s="128"/>
      <c r="H592" s="128"/>
      <c r="I592" s="12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</row>
    <row r="593" ht="10.5" customHeight="1">
      <c r="A593" s="127"/>
      <c r="B593" s="118"/>
      <c r="C593" s="128"/>
      <c r="D593" s="128"/>
      <c r="E593" s="128"/>
      <c r="F593" s="128"/>
      <c r="G593" s="128"/>
      <c r="H593" s="128"/>
      <c r="I593" s="12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</row>
    <row r="594" ht="10.5" customHeight="1">
      <c r="A594" s="127"/>
      <c r="B594" s="118"/>
      <c r="C594" s="128"/>
      <c r="D594" s="128"/>
      <c r="E594" s="128"/>
      <c r="F594" s="128"/>
      <c r="G594" s="128"/>
      <c r="H594" s="128"/>
      <c r="I594" s="12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</row>
    <row r="595" ht="10.5" customHeight="1">
      <c r="A595" s="127"/>
      <c r="B595" s="118"/>
      <c r="C595" s="128"/>
      <c r="D595" s="128"/>
      <c r="E595" s="128"/>
      <c r="F595" s="128"/>
      <c r="G595" s="128"/>
      <c r="H595" s="128"/>
      <c r="I595" s="12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</row>
    <row r="596" ht="10.5" customHeight="1">
      <c r="A596" s="127"/>
      <c r="B596" s="118"/>
      <c r="C596" s="128"/>
      <c r="D596" s="128"/>
      <c r="E596" s="128"/>
      <c r="F596" s="128"/>
      <c r="G596" s="128"/>
      <c r="H596" s="128"/>
      <c r="I596" s="12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</row>
    <row r="597" ht="10.5" customHeight="1">
      <c r="A597" s="127"/>
      <c r="B597" s="118"/>
      <c r="C597" s="128"/>
      <c r="D597" s="128"/>
      <c r="E597" s="128"/>
      <c r="F597" s="128"/>
      <c r="G597" s="128"/>
      <c r="H597" s="128"/>
      <c r="I597" s="12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</row>
    <row r="598" ht="10.5" customHeight="1">
      <c r="A598" s="127"/>
      <c r="B598" s="118"/>
      <c r="C598" s="128"/>
      <c r="D598" s="128"/>
      <c r="E598" s="128"/>
      <c r="F598" s="128"/>
      <c r="G598" s="128"/>
      <c r="H598" s="128"/>
      <c r="I598" s="12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</row>
    <row r="599" ht="10.5" customHeight="1">
      <c r="A599" s="127"/>
      <c r="B599" s="118"/>
      <c r="C599" s="128"/>
      <c r="D599" s="128"/>
      <c r="E599" s="128"/>
      <c r="F599" s="128"/>
      <c r="G599" s="128"/>
      <c r="H599" s="128"/>
      <c r="I599" s="12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</row>
    <row r="600" ht="10.5" customHeight="1">
      <c r="A600" s="127"/>
      <c r="B600" s="118"/>
      <c r="C600" s="128"/>
      <c r="D600" s="128"/>
      <c r="E600" s="128"/>
      <c r="F600" s="128"/>
      <c r="G600" s="128"/>
      <c r="H600" s="128"/>
      <c r="I600" s="12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</row>
    <row r="601" ht="10.5" customHeight="1">
      <c r="A601" s="127"/>
      <c r="B601" s="118"/>
      <c r="C601" s="128"/>
      <c r="D601" s="128"/>
      <c r="E601" s="128"/>
      <c r="F601" s="128"/>
      <c r="G601" s="128"/>
      <c r="H601" s="128"/>
      <c r="I601" s="12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</row>
    <row r="602" ht="10.5" customHeight="1">
      <c r="A602" s="127"/>
      <c r="B602" s="118"/>
      <c r="C602" s="128"/>
      <c r="D602" s="128"/>
      <c r="E602" s="128"/>
      <c r="F602" s="128"/>
      <c r="G602" s="128"/>
      <c r="H602" s="128"/>
      <c r="I602" s="12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</row>
    <row r="603" ht="10.5" customHeight="1">
      <c r="A603" s="127"/>
      <c r="B603" s="118"/>
      <c r="C603" s="128"/>
      <c r="D603" s="128"/>
      <c r="E603" s="128"/>
      <c r="F603" s="128"/>
      <c r="G603" s="128"/>
      <c r="H603" s="128"/>
      <c r="I603" s="12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</row>
    <row r="604" ht="10.5" customHeight="1">
      <c r="A604" s="127"/>
      <c r="B604" s="118"/>
      <c r="C604" s="128"/>
      <c r="D604" s="128"/>
      <c r="E604" s="128"/>
      <c r="F604" s="128"/>
      <c r="G604" s="128"/>
      <c r="H604" s="128"/>
      <c r="I604" s="12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</row>
    <row r="605" ht="10.5" customHeight="1">
      <c r="A605" s="127"/>
      <c r="B605" s="118"/>
      <c r="C605" s="128"/>
      <c r="D605" s="128"/>
      <c r="E605" s="128"/>
      <c r="F605" s="128"/>
      <c r="G605" s="128"/>
      <c r="H605" s="128"/>
      <c r="I605" s="12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</row>
    <row r="606" ht="10.5" customHeight="1">
      <c r="A606" s="127"/>
      <c r="B606" s="118"/>
      <c r="C606" s="128"/>
      <c r="D606" s="128"/>
      <c r="E606" s="128"/>
      <c r="F606" s="128"/>
      <c r="G606" s="128"/>
      <c r="H606" s="128"/>
      <c r="I606" s="12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</row>
    <row r="607" ht="10.5" customHeight="1">
      <c r="A607" s="127"/>
      <c r="B607" s="118"/>
      <c r="C607" s="128"/>
      <c r="D607" s="128"/>
      <c r="E607" s="128"/>
      <c r="F607" s="128"/>
      <c r="G607" s="128"/>
      <c r="H607" s="128"/>
      <c r="I607" s="12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</row>
    <row r="608" ht="10.5" customHeight="1">
      <c r="A608" s="127"/>
      <c r="B608" s="118"/>
      <c r="C608" s="128"/>
      <c r="D608" s="128"/>
      <c r="E608" s="128"/>
      <c r="F608" s="128"/>
      <c r="G608" s="128"/>
      <c r="H608" s="128"/>
      <c r="I608" s="12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</row>
    <row r="609" ht="10.5" customHeight="1">
      <c r="A609" s="127"/>
      <c r="B609" s="118"/>
      <c r="C609" s="128"/>
      <c r="D609" s="128"/>
      <c r="E609" s="128"/>
      <c r="F609" s="128"/>
      <c r="G609" s="128"/>
      <c r="H609" s="128"/>
      <c r="I609" s="12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</row>
    <row r="610" ht="10.5" customHeight="1">
      <c r="A610" s="127"/>
      <c r="B610" s="118"/>
      <c r="C610" s="128"/>
      <c r="D610" s="128"/>
      <c r="E610" s="128"/>
      <c r="F610" s="128"/>
      <c r="G610" s="128"/>
      <c r="H610" s="128"/>
      <c r="I610" s="12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</row>
    <row r="611" ht="10.5" customHeight="1">
      <c r="A611" s="127"/>
      <c r="B611" s="118"/>
      <c r="C611" s="128"/>
      <c r="D611" s="128"/>
      <c r="E611" s="128"/>
      <c r="F611" s="128"/>
      <c r="G611" s="128"/>
      <c r="H611" s="128"/>
      <c r="I611" s="12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</row>
    <row r="612" ht="10.5" customHeight="1">
      <c r="A612" s="127"/>
      <c r="B612" s="118"/>
      <c r="C612" s="128"/>
      <c r="D612" s="128"/>
      <c r="E612" s="128"/>
      <c r="F612" s="128"/>
      <c r="G612" s="128"/>
      <c r="H612" s="128"/>
      <c r="I612" s="12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</row>
    <row r="613" ht="10.5" customHeight="1">
      <c r="A613" s="127"/>
      <c r="B613" s="118"/>
      <c r="C613" s="128"/>
      <c r="D613" s="128"/>
      <c r="E613" s="128"/>
      <c r="F613" s="128"/>
      <c r="G613" s="128"/>
      <c r="H613" s="128"/>
      <c r="I613" s="12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</row>
    <row r="614" ht="10.5" customHeight="1">
      <c r="A614" s="127"/>
      <c r="B614" s="118"/>
      <c r="C614" s="128"/>
      <c r="D614" s="128"/>
      <c r="E614" s="128"/>
      <c r="F614" s="128"/>
      <c r="G614" s="128"/>
      <c r="H614" s="128"/>
      <c r="I614" s="12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</row>
    <row r="615" ht="10.5" customHeight="1">
      <c r="A615" s="127"/>
      <c r="B615" s="118"/>
      <c r="C615" s="128"/>
      <c r="D615" s="128"/>
      <c r="E615" s="128"/>
      <c r="F615" s="128"/>
      <c r="G615" s="128"/>
      <c r="H615" s="128"/>
      <c r="I615" s="12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</row>
    <row r="616" ht="10.5" customHeight="1">
      <c r="A616" s="127"/>
      <c r="B616" s="118"/>
      <c r="C616" s="128"/>
      <c r="D616" s="128"/>
      <c r="E616" s="128"/>
      <c r="F616" s="128"/>
      <c r="G616" s="128"/>
      <c r="H616" s="128"/>
      <c r="I616" s="12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</row>
    <row r="617" ht="10.5" customHeight="1">
      <c r="A617" s="127"/>
      <c r="B617" s="118"/>
      <c r="C617" s="128"/>
      <c r="D617" s="128"/>
      <c r="E617" s="128"/>
      <c r="F617" s="128"/>
      <c r="G617" s="128"/>
      <c r="H617" s="128"/>
      <c r="I617" s="12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</row>
    <row r="618" ht="10.5" customHeight="1">
      <c r="A618" s="127"/>
      <c r="B618" s="118"/>
      <c r="C618" s="128"/>
      <c r="D618" s="128"/>
      <c r="E618" s="128"/>
      <c r="F618" s="128"/>
      <c r="G618" s="128"/>
      <c r="H618" s="128"/>
      <c r="I618" s="12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</row>
    <row r="619" ht="10.5" customHeight="1">
      <c r="A619" s="127"/>
      <c r="B619" s="118"/>
      <c r="C619" s="128"/>
      <c r="D619" s="128"/>
      <c r="E619" s="128"/>
      <c r="F619" s="128"/>
      <c r="G619" s="128"/>
      <c r="H619" s="128"/>
      <c r="I619" s="12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</row>
    <row r="620" ht="10.5" customHeight="1">
      <c r="A620" s="127"/>
      <c r="B620" s="118"/>
      <c r="C620" s="128"/>
      <c r="D620" s="128"/>
      <c r="E620" s="128"/>
      <c r="F620" s="128"/>
      <c r="G620" s="128"/>
      <c r="H620" s="128"/>
      <c r="I620" s="12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</row>
    <row r="621" ht="10.5" customHeight="1">
      <c r="A621" s="127"/>
      <c r="B621" s="118"/>
      <c r="C621" s="128"/>
      <c r="D621" s="128"/>
      <c r="E621" s="128"/>
      <c r="F621" s="128"/>
      <c r="G621" s="128"/>
      <c r="H621" s="128"/>
      <c r="I621" s="12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</row>
    <row r="622" ht="10.5" customHeight="1">
      <c r="A622" s="127"/>
      <c r="B622" s="118"/>
      <c r="C622" s="128"/>
      <c r="D622" s="128"/>
      <c r="E622" s="128"/>
      <c r="F622" s="128"/>
      <c r="G622" s="128"/>
      <c r="H622" s="128"/>
      <c r="I622" s="12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</row>
    <row r="623" ht="10.5" customHeight="1">
      <c r="A623" s="127"/>
      <c r="B623" s="118"/>
      <c r="C623" s="128"/>
      <c r="D623" s="128"/>
      <c r="E623" s="128"/>
      <c r="F623" s="128"/>
      <c r="G623" s="128"/>
      <c r="H623" s="128"/>
      <c r="I623" s="12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</row>
    <row r="624" ht="10.5" customHeight="1">
      <c r="A624" s="127"/>
      <c r="B624" s="118"/>
      <c r="C624" s="128"/>
      <c r="D624" s="128"/>
      <c r="E624" s="128"/>
      <c r="F624" s="128"/>
      <c r="G624" s="128"/>
      <c r="H624" s="128"/>
      <c r="I624" s="12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</row>
    <row r="625" ht="10.5" customHeight="1">
      <c r="A625" s="127"/>
      <c r="B625" s="118"/>
      <c r="C625" s="128"/>
      <c r="D625" s="128"/>
      <c r="E625" s="128"/>
      <c r="F625" s="128"/>
      <c r="G625" s="128"/>
      <c r="H625" s="128"/>
      <c r="I625" s="12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</row>
    <row r="626" ht="10.5" customHeight="1">
      <c r="A626" s="127"/>
      <c r="B626" s="118"/>
      <c r="C626" s="128"/>
      <c r="D626" s="128"/>
      <c r="E626" s="128"/>
      <c r="F626" s="128"/>
      <c r="G626" s="128"/>
      <c r="H626" s="128"/>
      <c r="I626" s="12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</row>
    <row r="627" ht="10.5" customHeight="1">
      <c r="A627" s="127"/>
      <c r="B627" s="118"/>
      <c r="C627" s="128"/>
      <c r="D627" s="128"/>
      <c r="E627" s="128"/>
      <c r="F627" s="128"/>
      <c r="G627" s="128"/>
      <c r="H627" s="128"/>
      <c r="I627" s="12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</row>
    <row r="628" ht="10.5" customHeight="1">
      <c r="A628" s="127"/>
      <c r="B628" s="118"/>
      <c r="C628" s="128"/>
      <c r="D628" s="128"/>
      <c r="E628" s="128"/>
      <c r="F628" s="128"/>
      <c r="G628" s="128"/>
      <c r="H628" s="128"/>
      <c r="I628" s="12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</row>
    <row r="629" ht="10.5" customHeight="1">
      <c r="A629" s="127"/>
      <c r="B629" s="118"/>
      <c r="C629" s="128"/>
      <c r="D629" s="128"/>
      <c r="E629" s="128"/>
      <c r="F629" s="128"/>
      <c r="G629" s="128"/>
      <c r="H629" s="128"/>
      <c r="I629" s="12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</row>
    <row r="630" ht="10.5" customHeight="1">
      <c r="A630" s="127"/>
      <c r="B630" s="118"/>
      <c r="C630" s="128"/>
      <c r="D630" s="128"/>
      <c r="E630" s="128"/>
      <c r="F630" s="128"/>
      <c r="G630" s="128"/>
      <c r="H630" s="128"/>
      <c r="I630" s="12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</row>
    <row r="631" ht="10.5" customHeight="1">
      <c r="A631" s="127"/>
      <c r="B631" s="118"/>
      <c r="C631" s="128"/>
      <c r="D631" s="128"/>
      <c r="E631" s="128"/>
      <c r="F631" s="128"/>
      <c r="G631" s="128"/>
      <c r="H631" s="128"/>
      <c r="I631" s="12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</row>
    <row r="632" ht="10.5" customHeight="1">
      <c r="A632" s="127"/>
      <c r="B632" s="118"/>
      <c r="C632" s="128"/>
      <c r="D632" s="128"/>
      <c r="E632" s="128"/>
      <c r="F632" s="128"/>
      <c r="G632" s="128"/>
      <c r="H632" s="128"/>
      <c r="I632" s="12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</row>
    <row r="633" ht="10.5" customHeight="1">
      <c r="A633" s="127"/>
      <c r="B633" s="118"/>
      <c r="C633" s="128"/>
      <c r="D633" s="128"/>
      <c r="E633" s="128"/>
      <c r="F633" s="128"/>
      <c r="G633" s="128"/>
      <c r="H633" s="128"/>
      <c r="I633" s="12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</row>
    <row r="634" ht="10.5" customHeight="1">
      <c r="A634" s="127"/>
      <c r="B634" s="118"/>
      <c r="C634" s="128"/>
      <c r="D634" s="128"/>
      <c r="E634" s="128"/>
      <c r="F634" s="128"/>
      <c r="G634" s="128"/>
      <c r="H634" s="128"/>
      <c r="I634" s="12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</row>
    <row r="635" ht="10.5" customHeight="1">
      <c r="A635" s="127"/>
      <c r="B635" s="118"/>
      <c r="C635" s="128"/>
      <c r="D635" s="128"/>
      <c r="E635" s="128"/>
      <c r="F635" s="128"/>
      <c r="G635" s="128"/>
      <c r="H635" s="128"/>
      <c r="I635" s="12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</row>
    <row r="636" ht="10.5" customHeight="1">
      <c r="A636" s="127"/>
      <c r="B636" s="118"/>
      <c r="C636" s="128"/>
      <c r="D636" s="128"/>
      <c r="E636" s="128"/>
      <c r="F636" s="128"/>
      <c r="G636" s="128"/>
      <c r="H636" s="128"/>
      <c r="I636" s="12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</row>
    <row r="637" ht="10.5" customHeight="1">
      <c r="A637" s="127"/>
      <c r="B637" s="118"/>
      <c r="C637" s="128"/>
      <c r="D637" s="128"/>
      <c r="E637" s="128"/>
      <c r="F637" s="128"/>
      <c r="G637" s="128"/>
      <c r="H637" s="128"/>
      <c r="I637" s="12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</row>
    <row r="638" ht="10.5" customHeight="1">
      <c r="A638" s="127"/>
      <c r="B638" s="118"/>
      <c r="C638" s="128"/>
      <c r="D638" s="128"/>
      <c r="E638" s="128"/>
      <c r="F638" s="128"/>
      <c r="G638" s="128"/>
      <c r="H638" s="128"/>
      <c r="I638" s="12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</row>
    <row r="639" ht="10.5" customHeight="1">
      <c r="A639" s="127"/>
      <c r="B639" s="118"/>
      <c r="C639" s="128"/>
      <c r="D639" s="128"/>
      <c r="E639" s="128"/>
      <c r="F639" s="128"/>
      <c r="G639" s="128"/>
      <c r="H639" s="128"/>
      <c r="I639" s="12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</row>
    <row r="640" ht="10.5" customHeight="1">
      <c r="A640" s="127"/>
      <c r="B640" s="118"/>
      <c r="C640" s="128"/>
      <c r="D640" s="128"/>
      <c r="E640" s="128"/>
      <c r="F640" s="128"/>
      <c r="G640" s="128"/>
      <c r="H640" s="128"/>
      <c r="I640" s="12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</row>
    <row r="641" ht="10.5" customHeight="1">
      <c r="A641" s="127"/>
      <c r="B641" s="118"/>
      <c r="C641" s="128"/>
      <c r="D641" s="128"/>
      <c r="E641" s="128"/>
      <c r="F641" s="128"/>
      <c r="G641" s="128"/>
      <c r="H641" s="128"/>
      <c r="I641" s="12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</row>
    <row r="642" ht="10.5" customHeight="1">
      <c r="A642" s="127"/>
      <c r="B642" s="118"/>
      <c r="C642" s="128"/>
      <c r="D642" s="128"/>
      <c r="E642" s="128"/>
      <c r="F642" s="128"/>
      <c r="G642" s="128"/>
      <c r="H642" s="128"/>
      <c r="I642" s="12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</row>
    <row r="643" ht="10.5" customHeight="1">
      <c r="A643" s="127"/>
      <c r="B643" s="118"/>
      <c r="C643" s="128"/>
      <c r="D643" s="128"/>
      <c r="E643" s="128"/>
      <c r="F643" s="128"/>
      <c r="G643" s="128"/>
      <c r="H643" s="128"/>
      <c r="I643" s="12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</row>
    <row r="644" ht="10.5" customHeight="1">
      <c r="A644" s="127"/>
      <c r="B644" s="118"/>
      <c r="C644" s="128"/>
      <c r="D644" s="128"/>
      <c r="E644" s="128"/>
      <c r="F644" s="128"/>
      <c r="G644" s="128"/>
      <c r="H644" s="128"/>
      <c r="I644" s="12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</row>
    <row r="645" ht="10.5" customHeight="1">
      <c r="A645" s="127"/>
      <c r="B645" s="118"/>
      <c r="C645" s="128"/>
      <c r="D645" s="128"/>
      <c r="E645" s="128"/>
      <c r="F645" s="128"/>
      <c r="G645" s="128"/>
      <c r="H645" s="128"/>
      <c r="I645" s="12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</row>
    <row r="646" ht="10.5" customHeight="1">
      <c r="A646" s="127"/>
      <c r="B646" s="118"/>
      <c r="C646" s="128"/>
      <c r="D646" s="128"/>
      <c r="E646" s="128"/>
      <c r="F646" s="128"/>
      <c r="G646" s="128"/>
      <c r="H646" s="128"/>
      <c r="I646" s="12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</row>
    <row r="647" ht="10.5" customHeight="1">
      <c r="A647" s="127"/>
      <c r="B647" s="118"/>
      <c r="C647" s="128"/>
      <c r="D647" s="128"/>
      <c r="E647" s="128"/>
      <c r="F647" s="128"/>
      <c r="G647" s="128"/>
      <c r="H647" s="128"/>
      <c r="I647" s="12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</row>
    <row r="648" ht="10.5" customHeight="1">
      <c r="A648" s="127"/>
      <c r="B648" s="118"/>
      <c r="C648" s="128"/>
      <c r="D648" s="128"/>
      <c r="E648" s="128"/>
      <c r="F648" s="128"/>
      <c r="G648" s="128"/>
      <c r="H648" s="128"/>
      <c r="I648" s="12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</row>
    <row r="649" ht="10.5" customHeight="1">
      <c r="A649" s="127"/>
      <c r="B649" s="118"/>
      <c r="C649" s="128"/>
      <c r="D649" s="128"/>
      <c r="E649" s="128"/>
      <c r="F649" s="128"/>
      <c r="G649" s="128"/>
      <c r="H649" s="128"/>
      <c r="I649" s="12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</row>
    <row r="650" ht="10.5" customHeight="1">
      <c r="A650" s="127"/>
      <c r="B650" s="118"/>
      <c r="C650" s="128"/>
      <c r="D650" s="128"/>
      <c r="E650" s="128"/>
      <c r="F650" s="128"/>
      <c r="G650" s="128"/>
      <c r="H650" s="128"/>
      <c r="I650" s="12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</row>
    <row r="651" ht="10.5" customHeight="1">
      <c r="A651" s="127"/>
      <c r="B651" s="118"/>
      <c r="C651" s="128"/>
      <c r="D651" s="128"/>
      <c r="E651" s="128"/>
      <c r="F651" s="128"/>
      <c r="G651" s="128"/>
      <c r="H651" s="128"/>
      <c r="I651" s="12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</row>
    <row r="652" ht="10.5" customHeight="1">
      <c r="A652" s="127"/>
      <c r="B652" s="118"/>
      <c r="C652" s="128"/>
      <c r="D652" s="128"/>
      <c r="E652" s="128"/>
      <c r="F652" s="128"/>
      <c r="G652" s="128"/>
      <c r="H652" s="128"/>
      <c r="I652" s="12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</row>
    <row r="653" ht="10.5" customHeight="1">
      <c r="A653" s="127"/>
      <c r="B653" s="118"/>
      <c r="C653" s="128"/>
      <c r="D653" s="128"/>
      <c r="E653" s="128"/>
      <c r="F653" s="128"/>
      <c r="G653" s="128"/>
      <c r="H653" s="128"/>
      <c r="I653" s="12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</row>
    <row r="654" ht="10.5" customHeight="1">
      <c r="A654" s="127"/>
      <c r="B654" s="118"/>
      <c r="C654" s="128"/>
      <c r="D654" s="128"/>
      <c r="E654" s="128"/>
      <c r="F654" s="128"/>
      <c r="G654" s="128"/>
      <c r="H654" s="128"/>
      <c r="I654" s="12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</row>
    <row r="655" ht="10.5" customHeight="1">
      <c r="A655" s="127"/>
      <c r="B655" s="118"/>
      <c r="C655" s="128"/>
      <c r="D655" s="128"/>
      <c r="E655" s="128"/>
      <c r="F655" s="128"/>
      <c r="G655" s="128"/>
      <c r="H655" s="128"/>
      <c r="I655" s="12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</row>
    <row r="656" ht="10.5" customHeight="1">
      <c r="A656" s="127"/>
      <c r="B656" s="118"/>
      <c r="C656" s="128"/>
      <c r="D656" s="128"/>
      <c r="E656" s="128"/>
      <c r="F656" s="128"/>
      <c r="G656" s="128"/>
      <c r="H656" s="128"/>
      <c r="I656" s="12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</row>
    <row r="657" ht="10.5" customHeight="1">
      <c r="A657" s="127"/>
      <c r="B657" s="118"/>
      <c r="C657" s="128"/>
      <c r="D657" s="128"/>
      <c r="E657" s="128"/>
      <c r="F657" s="128"/>
      <c r="G657" s="128"/>
      <c r="H657" s="128"/>
      <c r="I657" s="12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</row>
    <row r="658" ht="10.5" customHeight="1">
      <c r="A658" s="127"/>
      <c r="B658" s="118"/>
      <c r="C658" s="128"/>
      <c r="D658" s="128"/>
      <c r="E658" s="128"/>
      <c r="F658" s="128"/>
      <c r="G658" s="128"/>
      <c r="H658" s="128"/>
      <c r="I658" s="12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</row>
    <row r="659" ht="10.5" customHeight="1">
      <c r="A659" s="127"/>
      <c r="B659" s="118"/>
      <c r="C659" s="128"/>
      <c r="D659" s="128"/>
      <c r="E659" s="128"/>
      <c r="F659" s="128"/>
      <c r="G659" s="128"/>
      <c r="H659" s="128"/>
      <c r="I659" s="12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</row>
    <row r="660" ht="10.5" customHeight="1">
      <c r="A660" s="127"/>
      <c r="B660" s="118"/>
      <c r="C660" s="128"/>
      <c r="D660" s="128"/>
      <c r="E660" s="128"/>
      <c r="F660" s="128"/>
      <c r="G660" s="128"/>
      <c r="H660" s="128"/>
      <c r="I660" s="12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</row>
    <row r="661" ht="10.5" customHeight="1">
      <c r="A661" s="127"/>
      <c r="B661" s="118"/>
      <c r="C661" s="128"/>
      <c r="D661" s="128"/>
      <c r="E661" s="128"/>
      <c r="F661" s="128"/>
      <c r="G661" s="128"/>
      <c r="H661" s="128"/>
      <c r="I661" s="12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</row>
    <row r="662" ht="10.5" customHeight="1">
      <c r="A662" s="127"/>
      <c r="B662" s="118"/>
      <c r="C662" s="128"/>
      <c r="D662" s="128"/>
      <c r="E662" s="128"/>
      <c r="F662" s="128"/>
      <c r="G662" s="128"/>
      <c r="H662" s="128"/>
      <c r="I662" s="12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</row>
    <row r="663" ht="10.5" customHeight="1">
      <c r="A663" s="127"/>
      <c r="B663" s="118"/>
      <c r="C663" s="128"/>
      <c r="D663" s="128"/>
      <c r="E663" s="128"/>
      <c r="F663" s="128"/>
      <c r="G663" s="128"/>
      <c r="H663" s="128"/>
      <c r="I663" s="12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</row>
    <row r="664" ht="10.5" customHeight="1">
      <c r="A664" s="127"/>
      <c r="B664" s="118"/>
      <c r="C664" s="128"/>
      <c r="D664" s="128"/>
      <c r="E664" s="128"/>
      <c r="F664" s="128"/>
      <c r="G664" s="128"/>
      <c r="H664" s="128"/>
      <c r="I664" s="12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</row>
    <row r="665" ht="10.5" customHeight="1">
      <c r="A665" s="127"/>
      <c r="B665" s="118"/>
      <c r="C665" s="128"/>
      <c r="D665" s="128"/>
      <c r="E665" s="128"/>
      <c r="F665" s="128"/>
      <c r="G665" s="128"/>
      <c r="H665" s="128"/>
      <c r="I665" s="12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</row>
    <row r="666" ht="10.5" customHeight="1">
      <c r="A666" s="127"/>
      <c r="B666" s="118"/>
      <c r="C666" s="128"/>
      <c r="D666" s="128"/>
      <c r="E666" s="128"/>
      <c r="F666" s="128"/>
      <c r="G666" s="128"/>
      <c r="H666" s="128"/>
      <c r="I666" s="12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</row>
    <row r="667" ht="10.5" customHeight="1">
      <c r="A667" s="127"/>
      <c r="B667" s="118"/>
      <c r="C667" s="128"/>
      <c r="D667" s="128"/>
      <c r="E667" s="128"/>
      <c r="F667" s="128"/>
      <c r="G667" s="128"/>
      <c r="H667" s="128"/>
      <c r="I667" s="12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</row>
    <row r="668" ht="10.5" customHeight="1">
      <c r="A668" s="127"/>
      <c r="B668" s="118"/>
      <c r="C668" s="128"/>
      <c r="D668" s="128"/>
      <c r="E668" s="128"/>
      <c r="F668" s="128"/>
      <c r="G668" s="128"/>
      <c r="H668" s="128"/>
      <c r="I668" s="12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</row>
    <row r="669" ht="10.5" customHeight="1">
      <c r="A669" s="127"/>
      <c r="B669" s="118"/>
      <c r="C669" s="128"/>
      <c r="D669" s="128"/>
      <c r="E669" s="128"/>
      <c r="F669" s="128"/>
      <c r="G669" s="128"/>
      <c r="H669" s="128"/>
      <c r="I669" s="12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</row>
    <row r="670" ht="10.5" customHeight="1">
      <c r="A670" s="127"/>
      <c r="B670" s="118"/>
      <c r="C670" s="128"/>
      <c r="D670" s="128"/>
      <c r="E670" s="128"/>
      <c r="F670" s="128"/>
      <c r="G670" s="128"/>
      <c r="H670" s="128"/>
      <c r="I670" s="12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</row>
    <row r="671" ht="10.5" customHeight="1">
      <c r="A671" s="127"/>
      <c r="B671" s="118"/>
      <c r="C671" s="128"/>
      <c r="D671" s="128"/>
      <c r="E671" s="128"/>
      <c r="F671" s="128"/>
      <c r="G671" s="128"/>
      <c r="H671" s="128"/>
      <c r="I671" s="12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</row>
    <row r="672" ht="10.5" customHeight="1">
      <c r="A672" s="127"/>
      <c r="B672" s="118"/>
      <c r="C672" s="128"/>
      <c r="D672" s="128"/>
      <c r="E672" s="128"/>
      <c r="F672" s="128"/>
      <c r="G672" s="128"/>
      <c r="H672" s="128"/>
      <c r="I672" s="12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</row>
    <row r="673" ht="10.5" customHeight="1">
      <c r="A673" s="127"/>
      <c r="B673" s="118"/>
      <c r="C673" s="128"/>
      <c r="D673" s="128"/>
      <c r="E673" s="128"/>
      <c r="F673" s="128"/>
      <c r="G673" s="128"/>
      <c r="H673" s="128"/>
      <c r="I673" s="12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</row>
    <row r="674" ht="10.5" customHeight="1">
      <c r="A674" s="127"/>
      <c r="B674" s="118"/>
      <c r="C674" s="128"/>
      <c r="D674" s="128"/>
      <c r="E674" s="128"/>
      <c r="F674" s="128"/>
      <c r="G674" s="128"/>
      <c r="H674" s="128"/>
      <c r="I674" s="12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</row>
    <row r="675" ht="10.5" customHeight="1">
      <c r="A675" s="127"/>
      <c r="B675" s="118"/>
      <c r="C675" s="128"/>
      <c r="D675" s="128"/>
      <c r="E675" s="128"/>
      <c r="F675" s="128"/>
      <c r="G675" s="128"/>
      <c r="H675" s="128"/>
      <c r="I675" s="12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</row>
    <row r="676" ht="10.5" customHeight="1">
      <c r="A676" s="127"/>
      <c r="B676" s="118"/>
      <c r="C676" s="128"/>
      <c r="D676" s="128"/>
      <c r="E676" s="128"/>
      <c r="F676" s="128"/>
      <c r="G676" s="128"/>
      <c r="H676" s="128"/>
      <c r="I676" s="12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</row>
    <row r="677" ht="10.5" customHeight="1">
      <c r="A677" s="127"/>
      <c r="B677" s="118"/>
      <c r="C677" s="128"/>
      <c r="D677" s="128"/>
      <c r="E677" s="128"/>
      <c r="F677" s="128"/>
      <c r="G677" s="128"/>
      <c r="H677" s="128"/>
      <c r="I677" s="12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</row>
    <row r="678" ht="10.5" customHeight="1">
      <c r="A678" s="127"/>
      <c r="B678" s="118"/>
      <c r="C678" s="128"/>
      <c r="D678" s="128"/>
      <c r="E678" s="128"/>
      <c r="F678" s="128"/>
      <c r="G678" s="128"/>
      <c r="H678" s="128"/>
      <c r="I678" s="12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</row>
    <row r="679" ht="10.5" customHeight="1">
      <c r="A679" s="127"/>
      <c r="B679" s="118"/>
      <c r="C679" s="128"/>
      <c r="D679" s="128"/>
      <c r="E679" s="128"/>
      <c r="F679" s="128"/>
      <c r="G679" s="128"/>
      <c r="H679" s="128"/>
      <c r="I679" s="12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</row>
    <row r="680" ht="10.5" customHeight="1">
      <c r="A680" s="127"/>
      <c r="B680" s="118"/>
      <c r="C680" s="128"/>
      <c r="D680" s="128"/>
      <c r="E680" s="128"/>
      <c r="F680" s="128"/>
      <c r="G680" s="128"/>
      <c r="H680" s="128"/>
      <c r="I680" s="12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</row>
    <row r="681" ht="10.5" customHeight="1">
      <c r="A681" s="127"/>
      <c r="B681" s="118"/>
      <c r="C681" s="128"/>
      <c r="D681" s="128"/>
      <c r="E681" s="128"/>
      <c r="F681" s="128"/>
      <c r="G681" s="128"/>
      <c r="H681" s="128"/>
      <c r="I681" s="12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</row>
    <row r="682" ht="10.5" customHeight="1">
      <c r="A682" s="127"/>
      <c r="B682" s="118"/>
      <c r="C682" s="128"/>
      <c r="D682" s="128"/>
      <c r="E682" s="128"/>
      <c r="F682" s="128"/>
      <c r="G682" s="128"/>
      <c r="H682" s="128"/>
      <c r="I682" s="12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</row>
    <row r="683" ht="10.5" customHeight="1">
      <c r="A683" s="127"/>
      <c r="B683" s="118"/>
      <c r="C683" s="128"/>
      <c r="D683" s="128"/>
      <c r="E683" s="128"/>
      <c r="F683" s="128"/>
      <c r="G683" s="128"/>
      <c r="H683" s="128"/>
      <c r="I683" s="12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</row>
    <row r="684" ht="10.5" customHeight="1">
      <c r="A684" s="127"/>
      <c r="B684" s="118"/>
      <c r="C684" s="128"/>
      <c r="D684" s="128"/>
      <c r="E684" s="128"/>
      <c r="F684" s="128"/>
      <c r="G684" s="128"/>
      <c r="H684" s="128"/>
      <c r="I684" s="12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</row>
    <row r="685" ht="10.5" customHeight="1">
      <c r="A685" s="127"/>
      <c r="B685" s="118"/>
      <c r="C685" s="128"/>
      <c r="D685" s="128"/>
      <c r="E685" s="128"/>
      <c r="F685" s="128"/>
      <c r="G685" s="128"/>
      <c r="H685" s="128"/>
      <c r="I685" s="12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</row>
    <row r="686" ht="10.5" customHeight="1">
      <c r="A686" s="127"/>
      <c r="B686" s="118"/>
      <c r="C686" s="128"/>
      <c r="D686" s="128"/>
      <c r="E686" s="128"/>
      <c r="F686" s="128"/>
      <c r="G686" s="128"/>
      <c r="H686" s="128"/>
      <c r="I686" s="12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</row>
    <row r="687" ht="10.5" customHeight="1">
      <c r="A687" s="127"/>
      <c r="B687" s="118"/>
      <c r="C687" s="128"/>
      <c r="D687" s="128"/>
      <c r="E687" s="128"/>
      <c r="F687" s="128"/>
      <c r="G687" s="128"/>
      <c r="H687" s="128"/>
      <c r="I687" s="12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</row>
    <row r="688" ht="10.5" customHeight="1">
      <c r="A688" s="127"/>
      <c r="B688" s="118"/>
      <c r="C688" s="128"/>
      <c r="D688" s="128"/>
      <c r="E688" s="128"/>
      <c r="F688" s="128"/>
      <c r="G688" s="128"/>
      <c r="H688" s="128"/>
      <c r="I688" s="12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</row>
    <row r="689" ht="10.5" customHeight="1">
      <c r="A689" s="127"/>
      <c r="B689" s="118"/>
      <c r="C689" s="128"/>
      <c r="D689" s="128"/>
      <c r="E689" s="128"/>
      <c r="F689" s="128"/>
      <c r="G689" s="128"/>
      <c r="H689" s="128"/>
      <c r="I689" s="12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</row>
    <row r="690" ht="10.5" customHeight="1">
      <c r="A690" s="127"/>
      <c r="B690" s="118"/>
      <c r="C690" s="128"/>
      <c r="D690" s="128"/>
      <c r="E690" s="128"/>
      <c r="F690" s="128"/>
      <c r="G690" s="128"/>
      <c r="H690" s="128"/>
      <c r="I690" s="12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</row>
    <row r="691" ht="10.5" customHeight="1">
      <c r="A691" s="127"/>
      <c r="B691" s="118"/>
      <c r="C691" s="128"/>
      <c r="D691" s="128"/>
      <c r="E691" s="128"/>
      <c r="F691" s="128"/>
      <c r="G691" s="128"/>
      <c r="H691" s="128"/>
      <c r="I691" s="12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</row>
    <row r="692" ht="10.5" customHeight="1">
      <c r="A692" s="127"/>
      <c r="B692" s="118"/>
      <c r="C692" s="128"/>
      <c r="D692" s="128"/>
      <c r="E692" s="128"/>
      <c r="F692" s="128"/>
      <c r="G692" s="128"/>
      <c r="H692" s="128"/>
      <c r="I692" s="12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</row>
    <row r="693" ht="10.5" customHeight="1">
      <c r="A693" s="127"/>
      <c r="B693" s="118"/>
      <c r="C693" s="128"/>
      <c r="D693" s="128"/>
      <c r="E693" s="128"/>
      <c r="F693" s="128"/>
      <c r="G693" s="128"/>
      <c r="H693" s="128"/>
      <c r="I693" s="12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</row>
    <row r="694" ht="10.5" customHeight="1">
      <c r="A694" s="127"/>
      <c r="B694" s="118"/>
      <c r="C694" s="128"/>
      <c r="D694" s="128"/>
      <c r="E694" s="128"/>
      <c r="F694" s="128"/>
      <c r="G694" s="128"/>
      <c r="H694" s="128"/>
      <c r="I694" s="12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</row>
    <row r="695" ht="10.5" customHeight="1">
      <c r="A695" s="127"/>
      <c r="B695" s="118"/>
      <c r="C695" s="128"/>
      <c r="D695" s="128"/>
      <c r="E695" s="128"/>
      <c r="F695" s="128"/>
      <c r="G695" s="128"/>
      <c r="H695" s="128"/>
      <c r="I695" s="12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</row>
    <row r="696" ht="10.5" customHeight="1">
      <c r="A696" s="127"/>
      <c r="B696" s="118"/>
      <c r="C696" s="128"/>
      <c r="D696" s="128"/>
      <c r="E696" s="128"/>
      <c r="F696" s="128"/>
      <c r="G696" s="128"/>
      <c r="H696" s="128"/>
      <c r="I696" s="12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</row>
    <row r="697" ht="10.5" customHeight="1">
      <c r="A697" s="127"/>
      <c r="B697" s="118"/>
      <c r="C697" s="128"/>
      <c r="D697" s="128"/>
      <c r="E697" s="128"/>
      <c r="F697" s="128"/>
      <c r="G697" s="128"/>
      <c r="H697" s="128"/>
      <c r="I697" s="12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</row>
    <row r="698" ht="10.5" customHeight="1">
      <c r="A698" s="127"/>
      <c r="B698" s="118"/>
      <c r="C698" s="128"/>
      <c r="D698" s="128"/>
      <c r="E698" s="128"/>
      <c r="F698" s="128"/>
      <c r="G698" s="128"/>
      <c r="H698" s="128"/>
      <c r="I698" s="12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</row>
    <row r="699" ht="10.5" customHeight="1">
      <c r="A699" s="127"/>
      <c r="B699" s="118"/>
      <c r="C699" s="128"/>
      <c r="D699" s="128"/>
      <c r="E699" s="128"/>
      <c r="F699" s="128"/>
      <c r="G699" s="128"/>
      <c r="H699" s="128"/>
      <c r="I699" s="12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</row>
    <row r="700" ht="10.5" customHeight="1">
      <c r="A700" s="127"/>
      <c r="B700" s="118"/>
      <c r="C700" s="128"/>
      <c r="D700" s="128"/>
      <c r="E700" s="128"/>
      <c r="F700" s="128"/>
      <c r="G700" s="128"/>
      <c r="H700" s="128"/>
      <c r="I700" s="12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</row>
    <row r="701" ht="10.5" customHeight="1">
      <c r="A701" s="127"/>
      <c r="B701" s="118"/>
      <c r="C701" s="128"/>
      <c r="D701" s="128"/>
      <c r="E701" s="128"/>
      <c r="F701" s="128"/>
      <c r="G701" s="128"/>
      <c r="H701" s="128"/>
      <c r="I701" s="12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</row>
    <row r="702" ht="10.5" customHeight="1">
      <c r="A702" s="127"/>
      <c r="B702" s="118"/>
      <c r="C702" s="128"/>
      <c r="D702" s="128"/>
      <c r="E702" s="128"/>
      <c r="F702" s="128"/>
      <c r="G702" s="128"/>
      <c r="H702" s="128"/>
      <c r="I702" s="12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</row>
    <row r="703" ht="10.5" customHeight="1">
      <c r="A703" s="127"/>
      <c r="B703" s="118"/>
      <c r="C703" s="128"/>
      <c r="D703" s="128"/>
      <c r="E703" s="128"/>
      <c r="F703" s="128"/>
      <c r="G703" s="128"/>
      <c r="H703" s="128"/>
      <c r="I703" s="12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</row>
    <row r="704" ht="10.5" customHeight="1">
      <c r="A704" s="127"/>
      <c r="B704" s="118"/>
      <c r="C704" s="128"/>
      <c r="D704" s="128"/>
      <c r="E704" s="128"/>
      <c r="F704" s="128"/>
      <c r="G704" s="128"/>
      <c r="H704" s="128"/>
      <c r="I704" s="12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</row>
    <row r="705" ht="10.5" customHeight="1">
      <c r="A705" s="127"/>
      <c r="B705" s="118"/>
      <c r="C705" s="128"/>
      <c r="D705" s="128"/>
      <c r="E705" s="128"/>
      <c r="F705" s="128"/>
      <c r="G705" s="128"/>
      <c r="H705" s="128"/>
      <c r="I705" s="12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</row>
    <row r="706" ht="10.5" customHeight="1">
      <c r="A706" s="127"/>
      <c r="B706" s="118"/>
      <c r="C706" s="128"/>
      <c r="D706" s="128"/>
      <c r="E706" s="128"/>
      <c r="F706" s="128"/>
      <c r="G706" s="128"/>
      <c r="H706" s="128"/>
      <c r="I706" s="12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</row>
    <row r="707" ht="10.5" customHeight="1">
      <c r="A707" s="127"/>
      <c r="B707" s="118"/>
      <c r="C707" s="128"/>
      <c r="D707" s="128"/>
      <c r="E707" s="128"/>
      <c r="F707" s="128"/>
      <c r="G707" s="128"/>
      <c r="H707" s="128"/>
      <c r="I707" s="12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</row>
    <row r="708" ht="10.5" customHeight="1">
      <c r="A708" s="127"/>
      <c r="B708" s="118"/>
      <c r="C708" s="128"/>
      <c r="D708" s="128"/>
      <c r="E708" s="128"/>
      <c r="F708" s="128"/>
      <c r="G708" s="128"/>
      <c r="H708" s="128"/>
      <c r="I708" s="12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</row>
    <row r="709" ht="10.5" customHeight="1">
      <c r="A709" s="127"/>
      <c r="B709" s="118"/>
      <c r="C709" s="128"/>
      <c r="D709" s="128"/>
      <c r="E709" s="128"/>
      <c r="F709" s="128"/>
      <c r="G709" s="128"/>
      <c r="H709" s="128"/>
      <c r="I709" s="12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</row>
    <row r="710" ht="10.5" customHeight="1">
      <c r="A710" s="127"/>
      <c r="B710" s="118"/>
      <c r="C710" s="128"/>
      <c r="D710" s="128"/>
      <c r="E710" s="128"/>
      <c r="F710" s="128"/>
      <c r="G710" s="128"/>
      <c r="H710" s="128"/>
      <c r="I710" s="12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</row>
    <row r="711" ht="10.5" customHeight="1">
      <c r="A711" s="127"/>
      <c r="B711" s="118"/>
      <c r="C711" s="128"/>
      <c r="D711" s="128"/>
      <c r="E711" s="128"/>
      <c r="F711" s="128"/>
      <c r="G711" s="128"/>
      <c r="H711" s="128"/>
      <c r="I711" s="12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</row>
    <row r="712" ht="10.5" customHeight="1">
      <c r="A712" s="127"/>
      <c r="B712" s="118"/>
      <c r="C712" s="128"/>
      <c r="D712" s="128"/>
      <c r="E712" s="128"/>
      <c r="F712" s="128"/>
      <c r="G712" s="128"/>
      <c r="H712" s="128"/>
      <c r="I712" s="12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</row>
    <row r="713" ht="10.5" customHeight="1">
      <c r="A713" s="127"/>
      <c r="B713" s="118"/>
      <c r="C713" s="128"/>
      <c r="D713" s="128"/>
      <c r="E713" s="128"/>
      <c r="F713" s="128"/>
      <c r="G713" s="128"/>
      <c r="H713" s="128"/>
      <c r="I713" s="12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</row>
    <row r="714" ht="10.5" customHeight="1">
      <c r="A714" s="127"/>
      <c r="B714" s="118"/>
      <c r="C714" s="128"/>
      <c r="D714" s="128"/>
      <c r="E714" s="128"/>
      <c r="F714" s="128"/>
      <c r="G714" s="128"/>
      <c r="H714" s="128"/>
      <c r="I714" s="12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</row>
    <row r="715" ht="10.5" customHeight="1">
      <c r="A715" s="127"/>
      <c r="B715" s="118"/>
      <c r="C715" s="128"/>
      <c r="D715" s="128"/>
      <c r="E715" s="128"/>
      <c r="F715" s="128"/>
      <c r="G715" s="128"/>
      <c r="H715" s="128"/>
      <c r="I715" s="12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</row>
    <row r="716" ht="10.5" customHeight="1">
      <c r="A716" s="127"/>
      <c r="B716" s="118"/>
      <c r="C716" s="128"/>
      <c r="D716" s="128"/>
      <c r="E716" s="128"/>
      <c r="F716" s="128"/>
      <c r="G716" s="128"/>
      <c r="H716" s="128"/>
      <c r="I716" s="12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</row>
    <row r="717" ht="10.5" customHeight="1">
      <c r="A717" s="127"/>
      <c r="B717" s="118"/>
      <c r="C717" s="128"/>
      <c r="D717" s="128"/>
      <c r="E717" s="128"/>
      <c r="F717" s="128"/>
      <c r="G717" s="128"/>
      <c r="H717" s="128"/>
      <c r="I717" s="12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</row>
    <row r="718" ht="10.5" customHeight="1">
      <c r="A718" s="127"/>
      <c r="B718" s="118"/>
      <c r="C718" s="128"/>
      <c r="D718" s="128"/>
      <c r="E718" s="128"/>
      <c r="F718" s="128"/>
      <c r="G718" s="128"/>
      <c r="H718" s="128"/>
      <c r="I718" s="12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</row>
    <row r="719" ht="10.5" customHeight="1">
      <c r="A719" s="127"/>
      <c r="B719" s="118"/>
      <c r="C719" s="128"/>
      <c r="D719" s="128"/>
      <c r="E719" s="128"/>
      <c r="F719" s="128"/>
      <c r="G719" s="128"/>
      <c r="H719" s="128"/>
      <c r="I719" s="12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</row>
    <row r="720" ht="10.5" customHeight="1">
      <c r="A720" s="127"/>
      <c r="B720" s="118"/>
      <c r="C720" s="128"/>
      <c r="D720" s="128"/>
      <c r="E720" s="128"/>
      <c r="F720" s="128"/>
      <c r="G720" s="128"/>
      <c r="H720" s="128"/>
      <c r="I720" s="12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</row>
    <row r="721" ht="10.5" customHeight="1">
      <c r="A721" s="127"/>
      <c r="B721" s="118"/>
      <c r="C721" s="128"/>
      <c r="D721" s="128"/>
      <c r="E721" s="128"/>
      <c r="F721" s="128"/>
      <c r="G721" s="128"/>
      <c r="H721" s="128"/>
      <c r="I721" s="12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</row>
    <row r="722" ht="10.5" customHeight="1">
      <c r="A722" s="127"/>
      <c r="B722" s="118"/>
      <c r="C722" s="128"/>
      <c r="D722" s="128"/>
      <c r="E722" s="128"/>
      <c r="F722" s="128"/>
      <c r="G722" s="128"/>
      <c r="H722" s="128"/>
      <c r="I722" s="12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</row>
    <row r="723" ht="10.5" customHeight="1">
      <c r="A723" s="127"/>
      <c r="B723" s="118"/>
      <c r="C723" s="128"/>
      <c r="D723" s="128"/>
      <c r="E723" s="128"/>
      <c r="F723" s="128"/>
      <c r="G723" s="128"/>
      <c r="H723" s="128"/>
      <c r="I723" s="12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</row>
    <row r="724" ht="10.5" customHeight="1">
      <c r="A724" s="127"/>
      <c r="B724" s="118"/>
      <c r="C724" s="128"/>
      <c r="D724" s="128"/>
      <c r="E724" s="128"/>
      <c r="F724" s="128"/>
      <c r="G724" s="128"/>
      <c r="H724" s="128"/>
      <c r="I724" s="12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</row>
    <row r="725" ht="10.5" customHeight="1">
      <c r="A725" s="127"/>
      <c r="B725" s="118"/>
      <c r="C725" s="128"/>
      <c r="D725" s="128"/>
      <c r="E725" s="128"/>
      <c r="F725" s="128"/>
      <c r="G725" s="128"/>
      <c r="H725" s="128"/>
      <c r="I725" s="12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</row>
    <row r="726" ht="10.5" customHeight="1">
      <c r="A726" s="127"/>
      <c r="B726" s="118"/>
      <c r="C726" s="128"/>
      <c r="D726" s="128"/>
      <c r="E726" s="128"/>
      <c r="F726" s="128"/>
      <c r="G726" s="128"/>
      <c r="H726" s="128"/>
      <c r="I726" s="12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</row>
    <row r="727" ht="10.5" customHeight="1">
      <c r="A727" s="127"/>
      <c r="B727" s="118"/>
      <c r="C727" s="128"/>
      <c r="D727" s="128"/>
      <c r="E727" s="128"/>
      <c r="F727" s="128"/>
      <c r="G727" s="128"/>
      <c r="H727" s="128"/>
      <c r="I727" s="12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</row>
    <row r="728" ht="10.5" customHeight="1">
      <c r="A728" s="127"/>
      <c r="B728" s="118"/>
      <c r="C728" s="128"/>
      <c r="D728" s="128"/>
      <c r="E728" s="128"/>
      <c r="F728" s="128"/>
      <c r="G728" s="128"/>
      <c r="H728" s="128"/>
      <c r="I728" s="12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</row>
    <row r="729" ht="10.5" customHeight="1">
      <c r="A729" s="127"/>
      <c r="B729" s="118"/>
      <c r="C729" s="128"/>
      <c r="D729" s="128"/>
      <c r="E729" s="128"/>
      <c r="F729" s="128"/>
      <c r="G729" s="128"/>
      <c r="H729" s="128"/>
      <c r="I729" s="12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</row>
    <row r="730" ht="10.5" customHeight="1">
      <c r="A730" s="127"/>
      <c r="B730" s="118"/>
      <c r="C730" s="128"/>
      <c r="D730" s="128"/>
      <c r="E730" s="128"/>
      <c r="F730" s="128"/>
      <c r="G730" s="128"/>
      <c r="H730" s="128"/>
      <c r="I730" s="12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</row>
    <row r="731" ht="10.5" customHeight="1">
      <c r="A731" s="127"/>
      <c r="B731" s="118"/>
      <c r="C731" s="128"/>
      <c r="D731" s="128"/>
      <c r="E731" s="128"/>
      <c r="F731" s="128"/>
      <c r="G731" s="128"/>
      <c r="H731" s="128"/>
      <c r="I731" s="12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</row>
    <row r="732" ht="10.5" customHeight="1">
      <c r="A732" s="127"/>
      <c r="B732" s="118"/>
      <c r="C732" s="128"/>
      <c r="D732" s="128"/>
      <c r="E732" s="128"/>
      <c r="F732" s="128"/>
      <c r="G732" s="128"/>
      <c r="H732" s="128"/>
      <c r="I732" s="12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</row>
    <row r="733" ht="10.5" customHeight="1">
      <c r="A733" s="127"/>
      <c r="B733" s="118"/>
      <c r="C733" s="128"/>
      <c r="D733" s="128"/>
      <c r="E733" s="128"/>
      <c r="F733" s="128"/>
      <c r="G733" s="128"/>
      <c r="H733" s="128"/>
      <c r="I733" s="12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</row>
    <row r="734" ht="10.5" customHeight="1">
      <c r="A734" s="127"/>
      <c r="B734" s="118"/>
      <c r="C734" s="128"/>
      <c r="D734" s="128"/>
      <c r="E734" s="128"/>
      <c r="F734" s="128"/>
      <c r="G734" s="128"/>
      <c r="H734" s="128"/>
      <c r="I734" s="12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</row>
    <row r="735" ht="10.5" customHeight="1">
      <c r="A735" s="127"/>
      <c r="B735" s="118"/>
      <c r="C735" s="128"/>
      <c r="D735" s="128"/>
      <c r="E735" s="128"/>
      <c r="F735" s="128"/>
      <c r="G735" s="128"/>
      <c r="H735" s="128"/>
      <c r="I735" s="12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</row>
    <row r="736" ht="10.5" customHeight="1">
      <c r="A736" s="127"/>
      <c r="B736" s="118"/>
      <c r="C736" s="128"/>
      <c r="D736" s="128"/>
      <c r="E736" s="128"/>
      <c r="F736" s="128"/>
      <c r="G736" s="128"/>
      <c r="H736" s="128"/>
      <c r="I736" s="12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</row>
    <row r="737" ht="10.5" customHeight="1">
      <c r="A737" s="127"/>
      <c r="B737" s="118"/>
      <c r="C737" s="128"/>
      <c r="D737" s="128"/>
      <c r="E737" s="128"/>
      <c r="F737" s="128"/>
      <c r="G737" s="128"/>
      <c r="H737" s="128"/>
      <c r="I737" s="12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</row>
    <row r="738" ht="10.5" customHeight="1">
      <c r="A738" s="127"/>
      <c r="B738" s="118"/>
      <c r="C738" s="128"/>
      <c r="D738" s="128"/>
      <c r="E738" s="128"/>
      <c r="F738" s="128"/>
      <c r="G738" s="128"/>
      <c r="H738" s="128"/>
      <c r="I738" s="12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</row>
    <row r="739" ht="10.5" customHeight="1">
      <c r="A739" s="127"/>
      <c r="B739" s="118"/>
      <c r="C739" s="128"/>
      <c r="D739" s="128"/>
      <c r="E739" s="128"/>
      <c r="F739" s="128"/>
      <c r="G739" s="128"/>
      <c r="H739" s="128"/>
      <c r="I739" s="12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</row>
    <row r="740" ht="10.5" customHeight="1">
      <c r="A740" s="127"/>
      <c r="B740" s="118"/>
      <c r="C740" s="128"/>
      <c r="D740" s="128"/>
      <c r="E740" s="128"/>
      <c r="F740" s="128"/>
      <c r="G740" s="128"/>
      <c r="H740" s="128"/>
      <c r="I740" s="12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</row>
    <row r="741" ht="10.5" customHeight="1">
      <c r="A741" s="127"/>
      <c r="B741" s="118"/>
      <c r="C741" s="128"/>
      <c r="D741" s="128"/>
      <c r="E741" s="128"/>
      <c r="F741" s="128"/>
      <c r="G741" s="128"/>
      <c r="H741" s="128"/>
      <c r="I741" s="12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</row>
    <row r="742" ht="10.5" customHeight="1">
      <c r="A742" s="127"/>
      <c r="B742" s="118"/>
      <c r="C742" s="128"/>
      <c r="D742" s="128"/>
      <c r="E742" s="128"/>
      <c r="F742" s="128"/>
      <c r="G742" s="128"/>
      <c r="H742" s="128"/>
      <c r="I742" s="12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</row>
    <row r="743" ht="10.5" customHeight="1">
      <c r="A743" s="127"/>
      <c r="B743" s="118"/>
      <c r="C743" s="128"/>
      <c r="D743" s="128"/>
      <c r="E743" s="128"/>
      <c r="F743" s="128"/>
      <c r="G743" s="128"/>
      <c r="H743" s="128"/>
      <c r="I743" s="12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</row>
    <row r="744" ht="10.5" customHeight="1">
      <c r="A744" s="127"/>
      <c r="B744" s="118"/>
      <c r="C744" s="128"/>
      <c r="D744" s="128"/>
      <c r="E744" s="128"/>
      <c r="F744" s="128"/>
      <c r="G744" s="128"/>
      <c r="H744" s="128"/>
      <c r="I744" s="12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</row>
    <row r="745" ht="10.5" customHeight="1">
      <c r="A745" s="127"/>
      <c r="B745" s="118"/>
      <c r="C745" s="128"/>
      <c r="D745" s="128"/>
      <c r="E745" s="128"/>
      <c r="F745" s="128"/>
      <c r="G745" s="128"/>
      <c r="H745" s="128"/>
      <c r="I745" s="12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</row>
    <row r="746" ht="10.5" customHeight="1">
      <c r="A746" s="127"/>
      <c r="B746" s="118"/>
      <c r="C746" s="128"/>
      <c r="D746" s="128"/>
      <c r="E746" s="128"/>
      <c r="F746" s="128"/>
      <c r="G746" s="128"/>
      <c r="H746" s="128"/>
      <c r="I746" s="12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</row>
    <row r="747" ht="10.5" customHeight="1">
      <c r="A747" s="127"/>
      <c r="B747" s="118"/>
      <c r="C747" s="128"/>
      <c r="D747" s="128"/>
      <c r="E747" s="128"/>
      <c r="F747" s="128"/>
      <c r="G747" s="128"/>
      <c r="H747" s="128"/>
      <c r="I747" s="12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</row>
    <row r="748" ht="10.5" customHeight="1">
      <c r="A748" s="127"/>
      <c r="B748" s="118"/>
      <c r="C748" s="128"/>
      <c r="D748" s="128"/>
      <c r="E748" s="128"/>
      <c r="F748" s="128"/>
      <c r="G748" s="128"/>
      <c r="H748" s="128"/>
      <c r="I748" s="12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</row>
    <row r="749" ht="10.5" customHeight="1">
      <c r="A749" s="127"/>
      <c r="B749" s="118"/>
      <c r="C749" s="128"/>
      <c r="D749" s="128"/>
      <c r="E749" s="128"/>
      <c r="F749" s="128"/>
      <c r="G749" s="128"/>
      <c r="H749" s="128"/>
      <c r="I749" s="12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</row>
    <row r="750" ht="10.5" customHeight="1">
      <c r="A750" s="127"/>
      <c r="B750" s="118"/>
      <c r="C750" s="128"/>
      <c r="D750" s="128"/>
      <c r="E750" s="128"/>
      <c r="F750" s="128"/>
      <c r="G750" s="128"/>
      <c r="H750" s="128"/>
      <c r="I750" s="12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</row>
    <row r="751" ht="10.5" customHeight="1">
      <c r="A751" s="127"/>
      <c r="B751" s="118"/>
      <c r="C751" s="128"/>
      <c r="D751" s="128"/>
      <c r="E751" s="128"/>
      <c r="F751" s="128"/>
      <c r="G751" s="128"/>
      <c r="H751" s="128"/>
      <c r="I751" s="12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</row>
    <row r="752" ht="10.5" customHeight="1">
      <c r="A752" s="127"/>
      <c r="B752" s="118"/>
      <c r="C752" s="128"/>
      <c r="D752" s="128"/>
      <c r="E752" s="128"/>
      <c r="F752" s="128"/>
      <c r="G752" s="128"/>
      <c r="H752" s="128"/>
      <c r="I752" s="12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</row>
    <row r="753" ht="10.5" customHeight="1">
      <c r="A753" s="127"/>
      <c r="B753" s="118"/>
      <c r="C753" s="128"/>
      <c r="D753" s="128"/>
      <c r="E753" s="128"/>
      <c r="F753" s="128"/>
      <c r="G753" s="128"/>
      <c r="H753" s="128"/>
      <c r="I753" s="12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</row>
    <row r="754" ht="10.5" customHeight="1">
      <c r="A754" s="127"/>
      <c r="B754" s="118"/>
      <c r="C754" s="128"/>
      <c r="D754" s="128"/>
      <c r="E754" s="128"/>
      <c r="F754" s="128"/>
      <c r="G754" s="128"/>
      <c r="H754" s="128"/>
      <c r="I754" s="12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</row>
    <row r="755" ht="10.5" customHeight="1">
      <c r="A755" s="127"/>
      <c r="B755" s="118"/>
      <c r="C755" s="128"/>
      <c r="D755" s="128"/>
      <c r="E755" s="128"/>
      <c r="F755" s="128"/>
      <c r="G755" s="128"/>
      <c r="H755" s="128"/>
      <c r="I755" s="12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</row>
    <row r="756" ht="10.5" customHeight="1">
      <c r="A756" s="127"/>
      <c r="B756" s="118"/>
      <c r="C756" s="128"/>
      <c r="D756" s="128"/>
      <c r="E756" s="128"/>
      <c r="F756" s="128"/>
      <c r="G756" s="128"/>
      <c r="H756" s="128"/>
      <c r="I756" s="12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</row>
    <row r="757" ht="10.5" customHeight="1">
      <c r="A757" s="127"/>
      <c r="B757" s="118"/>
      <c r="C757" s="128"/>
      <c r="D757" s="128"/>
      <c r="E757" s="128"/>
      <c r="F757" s="128"/>
      <c r="G757" s="128"/>
      <c r="H757" s="128"/>
      <c r="I757" s="12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</row>
    <row r="758" ht="10.5" customHeight="1">
      <c r="A758" s="127"/>
      <c r="B758" s="118"/>
      <c r="C758" s="128"/>
      <c r="D758" s="128"/>
      <c r="E758" s="128"/>
      <c r="F758" s="128"/>
      <c r="G758" s="128"/>
      <c r="H758" s="128"/>
      <c r="I758" s="12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</row>
    <row r="759" ht="10.5" customHeight="1">
      <c r="A759" s="127"/>
      <c r="B759" s="118"/>
      <c r="C759" s="128"/>
      <c r="D759" s="128"/>
      <c r="E759" s="128"/>
      <c r="F759" s="128"/>
      <c r="G759" s="128"/>
      <c r="H759" s="128"/>
      <c r="I759" s="12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</row>
    <row r="760" ht="10.5" customHeight="1">
      <c r="A760" s="127"/>
      <c r="B760" s="118"/>
      <c r="C760" s="128"/>
      <c r="D760" s="128"/>
      <c r="E760" s="128"/>
      <c r="F760" s="128"/>
      <c r="G760" s="128"/>
      <c r="H760" s="128"/>
      <c r="I760" s="12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</row>
    <row r="761" ht="10.5" customHeight="1">
      <c r="A761" s="127"/>
      <c r="B761" s="118"/>
      <c r="C761" s="128"/>
      <c r="D761" s="128"/>
      <c r="E761" s="128"/>
      <c r="F761" s="128"/>
      <c r="G761" s="128"/>
      <c r="H761" s="128"/>
      <c r="I761" s="12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</row>
    <row r="762" ht="10.5" customHeight="1">
      <c r="A762" s="127"/>
      <c r="B762" s="118"/>
      <c r="C762" s="128"/>
      <c r="D762" s="128"/>
      <c r="E762" s="128"/>
      <c r="F762" s="128"/>
      <c r="G762" s="128"/>
      <c r="H762" s="128"/>
      <c r="I762" s="12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</row>
    <row r="763" ht="10.5" customHeight="1">
      <c r="A763" s="127"/>
      <c r="B763" s="118"/>
      <c r="C763" s="128"/>
      <c r="D763" s="128"/>
      <c r="E763" s="128"/>
      <c r="F763" s="128"/>
      <c r="G763" s="128"/>
      <c r="H763" s="128"/>
      <c r="I763" s="12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</row>
    <row r="764" ht="10.5" customHeight="1">
      <c r="A764" s="127"/>
      <c r="B764" s="118"/>
      <c r="C764" s="128"/>
      <c r="D764" s="128"/>
      <c r="E764" s="128"/>
      <c r="F764" s="128"/>
      <c r="G764" s="128"/>
      <c r="H764" s="128"/>
      <c r="I764" s="12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</row>
    <row r="765" ht="10.5" customHeight="1">
      <c r="A765" s="127"/>
      <c r="B765" s="118"/>
      <c r="C765" s="128"/>
      <c r="D765" s="128"/>
      <c r="E765" s="128"/>
      <c r="F765" s="128"/>
      <c r="G765" s="128"/>
      <c r="H765" s="128"/>
      <c r="I765" s="12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</row>
    <row r="766" ht="10.5" customHeight="1">
      <c r="A766" s="127"/>
      <c r="B766" s="118"/>
      <c r="C766" s="128"/>
      <c r="D766" s="128"/>
      <c r="E766" s="128"/>
      <c r="F766" s="128"/>
      <c r="G766" s="128"/>
      <c r="H766" s="128"/>
      <c r="I766" s="12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</row>
    <row r="767" ht="10.5" customHeight="1">
      <c r="A767" s="127"/>
      <c r="B767" s="118"/>
      <c r="C767" s="128"/>
      <c r="D767" s="128"/>
      <c r="E767" s="128"/>
      <c r="F767" s="128"/>
      <c r="G767" s="128"/>
      <c r="H767" s="128"/>
      <c r="I767" s="12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</row>
    <row r="768" ht="10.5" customHeight="1">
      <c r="A768" s="127"/>
      <c r="B768" s="118"/>
      <c r="C768" s="128"/>
      <c r="D768" s="128"/>
      <c r="E768" s="128"/>
      <c r="F768" s="128"/>
      <c r="G768" s="128"/>
      <c r="H768" s="128"/>
      <c r="I768" s="12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</row>
    <row r="769" ht="10.5" customHeight="1">
      <c r="A769" s="127"/>
      <c r="B769" s="118"/>
      <c r="C769" s="128"/>
      <c r="D769" s="128"/>
      <c r="E769" s="128"/>
      <c r="F769" s="128"/>
      <c r="G769" s="128"/>
      <c r="H769" s="128"/>
      <c r="I769" s="12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</row>
    <row r="770" ht="10.5" customHeight="1">
      <c r="A770" s="127"/>
      <c r="B770" s="118"/>
      <c r="C770" s="128"/>
      <c r="D770" s="128"/>
      <c r="E770" s="128"/>
      <c r="F770" s="128"/>
      <c r="G770" s="128"/>
      <c r="H770" s="128"/>
      <c r="I770" s="12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</row>
    <row r="771" ht="10.5" customHeight="1">
      <c r="A771" s="127"/>
      <c r="B771" s="118"/>
      <c r="C771" s="128"/>
      <c r="D771" s="128"/>
      <c r="E771" s="128"/>
      <c r="F771" s="128"/>
      <c r="G771" s="128"/>
      <c r="H771" s="128"/>
      <c r="I771" s="12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</row>
    <row r="772" ht="10.5" customHeight="1">
      <c r="A772" s="127"/>
      <c r="B772" s="118"/>
      <c r="C772" s="128"/>
      <c r="D772" s="128"/>
      <c r="E772" s="128"/>
      <c r="F772" s="128"/>
      <c r="G772" s="128"/>
      <c r="H772" s="128"/>
      <c r="I772" s="12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</row>
    <row r="773" ht="10.5" customHeight="1">
      <c r="A773" s="127"/>
      <c r="B773" s="118"/>
      <c r="C773" s="128"/>
      <c r="D773" s="128"/>
      <c r="E773" s="128"/>
      <c r="F773" s="128"/>
      <c r="G773" s="128"/>
      <c r="H773" s="128"/>
      <c r="I773" s="12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</row>
    <row r="774" ht="10.5" customHeight="1">
      <c r="A774" s="127"/>
      <c r="B774" s="118"/>
      <c r="C774" s="128"/>
      <c r="D774" s="128"/>
      <c r="E774" s="128"/>
      <c r="F774" s="128"/>
      <c r="G774" s="128"/>
      <c r="H774" s="128"/>
      <c r="I774" s="12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</row>
    <row r="775" ht="10.5" customHeight="1">
      <c r="A775" s="127"/>
      <c r="B775" s="118"/>
      <c r="C775" s="128"/>
      <c r="D775" s="128"/>
      <c r="E775" s="128"/>
      <c r="F775" s="128"/>
      <c r="G775" s="128"/>
      <c r="H775" s="128"/>
      <c r="I775" s="12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</row>
    <row r="776" ht="10.5" customHeight="1">
      <c r="A776" s="127"/>
      <c r="B776" s="118"/>
      <c r="C776" s="128"/>
      <c r="D776" s="128"/>
      <c r="E776" s="128"/>
      <c r="F776" s="128"/>
      <c r="G776" s="128"/>
      <c r="H776" s="128"/>
      <c r="I776" s="12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</row>
    <row r="777" ht="10.5" customHeight="1">
      <c r="A777" s="127"/>
      <c r="B777" s="118"/>
      <c r="C777" s="128"/>
      <c r="D777" s="128"/>
      <c r="E777" s="128"/>
      <c r="F777" s="128"/>
      <c r="G777" s="128"/>
      <c r="H777" s="128"/>
      <c r="I777" s="12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</row>
    <row r="778" ht="10.5" customHeight="1">
      <c r="A778" s="127"/>
      <c r="B778" s="118"/>
      <c r="C778" s="128"/>
      <c r="D778" s="128"/>
      <c r="E778" s="128"/>
      <c r="F778" s="128"/>
      <c r="G778" s="128"/>
      <c r="H778" s="128"/>
      <c r="I778" s="12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</row>
    <row r="779" ht="10.5" customHeight="1">
      <c r="A779" s="127"/>
      <c r="B779" s="118"/>
      <c r="C779" s="128"/>
      <c r="D779" s="128"/>
      <c r="E779" s="128"/>
      <c r="F779" s="128"/>
      <c r="G779" s="128"/>
      <c r="H779" s="128"/>
      <c r="I779" s="12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</row>
    <row r="780" ht="10.5" customHeight="1">
      <c r="A780" s="127"/>
      <c r="B780" s="118"/>
      <c r="C780" s="128"/>
      <c r="D780" s="128"/>
      <c r="E780" s="128"/>
      <c r="F780" s="128"/>
      <c r="G780" s="128"/>
      <c r="H780" s="128"/>
      <c r="I780" s="12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</row>
    <row r="781" ht="10.5" customHeight="1">
      <c r="A781" s="127"/>
      <c r="B781" s="118"/>
      <c r="C781" s="128"/>
      <c r="D781" s="128"/>
      <c r="E781" s="128"/>
      <c r="F781" s="128"/>
      <c r="G781" s="128"/>
      <c r="H781" s="128"/>
      <c r="I781" s="12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</row>
    <row r="782" ht="10.5" customHeight="1">
      <c r="A782" s="127"/>
      <c r="B782" s="118"/>
      <c r="C782" s="128"/>
      <c r="D782" s="128"/>
      <c r="E782" s="128"/>
      <c r="F782" s="128"/>
      <c r="G782" s="128"/>
      <c r="H782" s="128"/>
      <c r="I782" s="12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</row>
    <row r="783" ht="10.5" customHeight="1">
      <c r="A783" s="127"/>
      <c r="B783" s="118"/>
      <c r="C783" s="128"/>
      <c r="D783" s="128"/>
      <c r="E783" s="128"/>
      <c r="F783" s="128"/>
      <c r="G783" s="128"/>
      <c r="H783" s="128"/>
      <c r="I783" s="12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</row>
    <row r="784" ht="10.5" customHeight="1">
      <c r="A784" s="127"/>
      <c r="B784" s="118"/>
      <c r="C784" s="128"/>
      <c r="D784" s="128"/>
      <c r="E784" s="128"/>
      <c r="F784" s="128"/>
      <c r="G784" s="128"/>
      <c r="H784" s="128"/>
      <c r="I784" s="12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</row>
    <row r="785" ht="10.5" customHeight="1">
      <c r="A785" s="127"/>
      <c r="B785" s="118"/>
      <c r="C785" s="128"/>
      <c r="D785" s="128"/>
      <c r="E785" s="128"/>
      <c r="F785" s="128"/>
      <c r="G785" s="128"/>
      <c r="H785" s="128"/>
      <c r="I785" s="12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</row>
    <row r="786" ht="10.5" customHeight="1">
      <c r="A786" s="127"/>
      <c r="B786" s="118"/>
      <c r="C786" s="128"/>
      <c r="D786" s="128"/>
      <c r="E786" s="128"/>
      <c r="F786" s="128"/>
      <c r="G786" s="128"/>
      <c r="H786" s="128"/>
      <c r="I786" s="12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</row>
    <row r="787" ht="10.5" customHeight="1">
      <c r="A787" s="127"/>
      <c r="B787" s="118"/>
      <c r="C787" s="128"/>
      <c r="D787" s="128"/>
      <c r="E787" s="128"/>
      <c r="F787" s="128"/>
      <c r="G787" s="128"/>
      <c r="H787" s="128"/>
      <c r="I787" s="12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</row>
    <row r="788" ht="10.5" customHeight="1">
      <c r="A788" s="127"/>
      <c r="B788" s="118"/>
      <c r="C788" s="128"/>
      <c r="D788" s="128"/>
      <c r="E788" s="128"/>
      <c r="F788" s="128"/>
      <c r="G788" s="128"/>
      <c r="H788" s="128"/>
      <c r="I788" s="12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</row>
    <row r="789" ht="10.5" customHeight="1">
      <c r="A789" s="127"/>
      <c r="B789" s="118"/>
      <c r="C789" s="128"/>
      <c r="D789" s="128"/>
      <c r="E789" s="128"/>
      <c r="F789" s="128"/>
      <c r="G789" s="128"/>
      <c r="H789" s="128"/>
      <c r="I789" s="12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</row>
    <row r="790" ht="10.5" customHeight="1">
      <c r="A790" s="127"/>
      <c r="B790" s="118"/>
      <c r="C790" s="128"/>
      <c r="D790" s="128"/>
      <c r="E790" s="128"/>
      <c r="F790" s="128"/>
      <c r="G790" s="128"/>
      <c r="H790" s="128"/>
      <c r="I790" s="12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</row>
    <row r="791" ht="10.5" customHeight="1">
      <c r="A791" s="127"/>
      <c r="B791" s="118"/>
      <c r="C791" s="128"/>
      <c r="D791" s="128"/>
      <c r="E791" s="128"/>
      <c r="F791" s="128"/>
      <c r="G791" s="128"/>
      <c r="H791" s="128"/>
      <c r="I791" s="12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</row>
    <row r="792" ht="10.5" customHeight="1">
      <c r="A792" s="127"/>
      <c r="B792" s="118"/>
      <c r="C792" s="128"/>
      <c r="D792" s="128"/>
      <c r="E792" s="128"/>
      <c r="F792" s="128"/>
      <c r="G792" s="128"/>
      <c r="H792" s="128"/>
      <c r="I792" s="12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</row>
    <row r="793" ht="10.5" customHeight="1">
      <c r="A793" s="127"/>
      <c r="B793" s="118"/>
      <c r="C793" s="128"/>
      <c r="D793" s="128"/>
      <c r="E793" s="128"/>
      <c r="F793" s="128"/>
      <c r="G793" s="128"/>
      <c r="H793" s="128"/>
      <c r="I793" s="12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</row>
    <row r="794" ht="10.5" customHeight="1">
      <c r="A794" s="127"/>
      <c r="B794" s="118"/>
      <c r="C794" s="128"/>
      <c r="D794" s="128"/>
      <c r="E794" s="128"/>
      <c r="F794" s="128"/>
      <c r="G794" s="128"/>
      <c r="H794" s="128"/>
      <c r="I794" s="12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</row>
    <row r="795" ht="10.5" customHeight="1">
      <c r="A795" s="127"/>
      <c r="B795" s="118"/>
      <c r="C795" s="128"/>
      <c r="D795" s="128"/>
      <c r="E795" s="128"/>
      <c r="F795" s="128"/>
      <c r="G795" s="128"/>
      <c r="H795" s="128"/>
      <c r="I795" s="12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</row>
    <row r="796" ht="10.5" customHeight="1">
      <c r="A796" s="127"/>
      <c r="B796" s="118"/>
      <c r="C796" s="128"/>
      <c r="D796" s="128"/>
      <c r="E796" s="128"/>
      <c r="F796" s="128"/>
      <c r="G796" s="128"/>
      <c r="H796" s="128"/>
      <c r="I796" s="12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</row>
    <row r="797" ht="10.5" customHeight="1">
      <c r="A797" s="127"/>
      <c r="B797" s="118"/>
      <c r="C797" s="128"/>
      <c r="D797" s="128"/>
      <c r="E797" s="128"/>
      <c r="F797" s="128"/>
      <c r="G797" s="128"/>
      <c r="H797" s="128"/>
      <c r="I797" s="12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</row>
    <row r="798" ht="10.5" customHeight="1">
      <c r="A798" s="127"/>
      <c r="B798" s="118"/>
      <c r="C798" s="128"/>
      <c r="D798" s="128"/>
      <c r="E798" s="128"/>
      <c r="F798" s="128"/>
      <c r="G798" s="128"/>
      <c r="H798" s="128"/>
      <c r="I798" s="12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</row>
    <row r="799" ht="10.5" customHeight="1">
      <c r="A799" s="127"/>
      <c r="B799" s="118"/>
      <c r="C799" s="128"/>
      <c r="D799" s="128"/>
      <c r="E799" s="128"/>
      <c r="F799" s="128"/>
      <c r="G799" s="128"/>
      <c r="H799" s="128"/>
      <c r="I799" s="12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</row>
    <row r="800" ht="10.5" customHeight="1">
      <c r="A800" s="127"/>
      <c r="B800" s="118"/>
      <c r="C800" s="128"/>
      <c r="D800" s="128"/>
      <c r="E800" s="128"/>
      <c r="F800" s="128"/>
      <c r="G800" s="128"/>
      <c r="H800" s="128"/>
      <c r="I800" s="12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</row>
    <row r="801" ht="10.5" customHeight="1">
      <c r="A801" s="127"/>
      <c r="B801" s="118"/>
      <c r="C801" s="128"/>
      <c r="D801" s="128"/>
      <c r="E801" s="128"/>
      <c r="F801" s="128"/>
      <c r="G801" s="128"/>
      <c r="H801" s="128"/>
      <c r="I801" s="12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</row>
    <row r="802" ht="10.5" customHeight="1">
      <c r="A802" s="127"/>
      <c r="B802" s="118"/>
      <c r="C802" s="128"/>
      <c r="D802" s="128"/>
      <c r="E802" s="128"/>
      <c r="F802" s="128"/>
      <c r="G802" s="128"/>
      <c r="H802" s="128"/>
      <c r="I802" s="12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</row>
    <row r="803" ht="10.5" customHeight="1">
      <c r="A803" s="127"/>
      <c r="B803" s="118"/>
      <c r="C803" s="128"/>
      <c r="D803" s="128"/>
      <c r="E803" s="128"/>
      <c r="F803" s="128"/>
      <c r="G803" s="128"/>
      <c r="H803" s="128"/>
      <c r="I803" s="12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</row>
    <row r="804" ht="10.5" customHeight="1">
      <c r="A804" s="127"/>
      <c r="B804" s="118"/>
      <c r="C804" s="128"/>
      <c r="D804" s="128"/>
      <c r="E804" s="128"/>
      <c r="F804" s="128"/>
      <c r="G804" s="128"/>
      <c r="H804" s="128"/>
      <c r="I804" s="12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</row>
    <row r="805" ht="10.5" customHeight="1">
      <c r="A805" s="127"/>
      <c r="B805" s="118"/>
      <c r="C805" s="128"/>
      <c r="D805" s="128"/>
      <c r="E805" s="128"/>
      <c r="F805" s="128"/>
      <c r="G805" s="128"/>
      <c r="H805" s="128"/>
      <c r="I805" s="12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</row>
    <row r="806" ht="10.5" customHeight="1">
      <c r="A806" s="127"/>
      <c r="B806" s="118"/>
      <c r="C806" s="128"/>
      <c r="D806" s="128"/>
      <c r="E806" s="128"/>
      <c r="F806" s="128"/>
      <c r="G806" s="128"/>
      <c r="H806" s="128"/>
      <c r="I806" s="12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</row>
    <row r="807" ht="10.5" customHeight="1">
      <c r="A807" s="127"/>
      <c r="B807" s="118"/>
      <c r="C807" s="128"/>
      <c r="D807" s="128"/>
      <c r="E807" s="128"/>
      <c r="F807" s="128"/>
      <c r="G807" s="128"/>
      <c r="H807" s="128"/>
      <c r="I807" s="12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</row>
    <row r="808" ht="10.5" customHeight="1">
      <c r="A808" s="127"/>
      <c r="B808" s="118"/>
      <c r="C808" s="128"/>
      <c r="D808" s="128"/>
      <c r="E808" s="128"/>
      <c r="F808" s="128"/>
      <c r="G808" s="128"/>
      <c r="H808" s="128"/>
      <c r="I808" s="12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</row>
    <row r="809" ht="10.5" customHeight="1">
      <c r="A809" s="127"/>
      <c r="B809" s="118"/>
      <c r="C809" s="128"/>
      <c r="D809" s="128"/>
      <c r="E809" s="128"/>
      <c r="F809" s="128"/>
      <c r="G809" s="128"/>
      <c r="H809" s="128"/>
      <c r="I809" s="12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</row>
    <row r="810" ht="10.5" customHeight="1">
      <c r="A810" s="127"/>
      <c r="B810" s="118"/>
      <c r="C810" s="128"/>
      <c r="D810" s="128"/>
      <c r="E810" s="128"/>
      <c r="F810" s="128"/>
      <c r="G810" s="128"/>
      <c r="H810" s="128"/>
      <c r="I810" s="12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</row>
    <row r="811" ht="10.5" customHeight="1">
      <c r="A811" s="127"/>
      <c r="B811" s="118"/>
      <c r="C811" s="128"/>
      <c r="D811" s="128"/>
      <c r="E811" s="128"/>
      <c r="F811" s="128"/>
      <c r="G811" s="128"/>
      <c r="H811" s="128"/>
      <c r="I811" s="12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</row>
    <row r="812" ht="10.5" customHeight="1">
      <c r="A812" s="127"/>
      <c r="B812" s="118"/>
      <c r="C812" s="128"/>
      <c r="D812" s="128"/>
      <c r="E812" s="128"/>
      <c r="F812" s="128"/>
      <c r="G812" s="128"/>
      <c r="H812" s="128"/>
      <c r="I812" s="12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</row>
    <row r="813" ht="10.5" customHeight="1">
      <c r="A813" s="127"/>
      <c r="B813" s="118"/>
      <c r="C813" s="128"/>
      <c r="D813" s="128"/>
      <c r="E813" s="128"/>
      <c r="F813" s="128"/>
      <c r="G813" s="128"/>
      <c r="H813" s="128"/>
      <c r="I813" s="12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</row>
    <row r="814" ht="10.5" customHeight="1">
      <c r="A814" s="127"/>
      <c r="B814" s="118"/>
      <c r="C814" s="128"/>
      <c r="D814" s="128"/>
      <c r="E814" s="128"/>
      <c r="F814" s="128"/>
      <c r="G814" s="128"/>
      <c r="H814" s="128"/>
      <c r="I814" s="12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</row>
    <row r="815" ht="10.5" customHeight="1">
      <c r="A815" s="127"/>
      <c r="B815" s="118"/>
      <c r="C815" s="128"/>
      <c r="D815" s="128"/>
      <c r="E815" s="128"/>
      <c r="F815" s="128"/>
      <c r="G815" s="128"/>
      <c r="H815" s="128"/>
      <c r="I815" s="12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</row>
    <row r="816" ht="10.5" customHeight="1">
      <c r="A816" s="127"/>
      <c r="B816" s="118"/>
      <c r="C816" s="128"/>
      <c r="D816" s="128"/>
      <c r="E816" s="128"/>
      <c r="F816" s="128"/>
      <c r="G816" s="128"/>
      <c r="H816" s="128"/>
      <c r="I816" s="12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</row>
    <row r="817" ht="10.5" customHeight="1">
      <c r="A817" s="127"/>
      <c r="B817" s="118"/>
      <c r="C817" s="128"/>
      <c r="D817" s="128"/>
      <c r="E817" s="128"/>
      <c r="F817" s="128"/>
      <c r="G817" s="128"/>
      <c r="H817" s="128"/>
      <c r="I817" s="12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</row>
    <row r="818" ht="10.5" customHeight="1">
      <c r="A818" s="127"/>
      <c r="B818" s="118"/>
      <c r="C818" s="128"/>
      <c r="D818" s="128"/>
      <c r="E818" s="128"/>
      <c r="F818" s="128"/>
      <c r="G818" s="128"/>
      <c r="H818" s="128"/>
      <c r="I818" s="12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</row>
    <row r="819" ht="10.5" customHeight="1">
      <c r="A819" s="127"/>
      <c r="B819" s="118"/>
      <c r="C819" s="128"/>
      <c r="D819" s="128"/>
      <c r="E819" s="128"/>
      <c r="F819" s="128"/>
      <c r="G819" s="128"/>
      <c r="H819" s="128"/>
      <c r="I819" s="12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</row>
    <row r="820" ht="10.5" customHeight="1">
      <c r="A820" s="127"/>
      <c r="B820" s="118"/>
      <c r="C820" s="128"/>
      <c r="D820" s="128"/>
      <c r="E820" s="128"/>
      <c r="F820" s="128"/>
      <c r="G820" s="128"/>
      <c r="H820" s="128"/>
      <c r="I820" s="12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</row>
    <row r="821" ht="10.5" customHeight="1">
      <c r="A821" s="127"/>
      <c r="B821" s="118"/>
      <c r="C821" s="128"/>
      <c r="D821" s="128"/>
      <c r="E821" s="128"/>
      <c r="F821" s="128"/>
      <c r="G821" s="128"/>
      <c r="H821" s="128"/>
      <c r="I821" s="12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</row>
    <row r="822" ht="10.5" customHeight="1">
      <c r="A822" s="127"/>
      <c r="B822" s="118"/>
      <c r="C822" s="128"/>
      <c r="D822" s="128"/>
      <c r="E822" s="128"/>
      <c r="F822" s="128"/>
      <c r="G822" s="128"/>
      <c r="H822" s="128"/>
      <c r="I822" s="12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</row>
    <row r="823" ht="10.5" customHeight="1">
      <c r="A823" s="127"/>
      <c r="B823" s="118"/>
      <c r="C823" s="128"/>
      <c r="D823" s="128"/>
      <c r="E823" s="128"/>
      <c r="F823" s="128"/>
      <c r="G823" s="128"/>
      <c r="H823" s="128"/>
      <c r="I823" s="12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</row>
    <row r="824" ht="10.5" customHeight="1">
      <c r="A824" s="127"/>
      <c r="B824" s="118"/>
      <c r="C824" s="128"/>
      <c r="D824" s="128"/>
      <c r="E824" s="128"/>
      <c r="F824" s="128"/>
      <c r="G824" s="128"/>
      <c r="H824" s="128"/>
      <c r="I824" s="12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</row>
    <row r="825" ht="10.5" customHeight="1">
      <c r="A825" s="127"/>
      <c r="B825" s="118"/>
      <c r="C825" s="128"/>
      <c r="D825" s="128"/>
      <c r="E825" s="128"/>
      <c r="F825" s="128"/>
      <c r="G825" s="128"/>
      <c r="H825" s="128"/>
      <c r="I825" s="12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</row>
    <row r="826" ht="10.5" customHeight="1">
      <c r="A826" s="127"/>
      <c r="B826" s="118"/>
      <c r="C826" s="128"/>
      <c r="D826" s="128"/>
      <c r="E826" s="128"/>
      <c r="F826" s="128"/>
      <c r="G826" s="128"/>
      <c r="H826" s="128"/>
      <c r="I826" s="12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</row>
    <row r="827" ht="10.5" customHeight="1">
      <c r="A827" s="127"/>
      <c r="B827" s="118"/>
      <c r="C827" s="128"/>
      <c r="D827" s="128"/>
      <c r="E827" s="128"/>
      <c r="F827" s="128"/>
      <c r="G827" s="128"/>
      <c r="H827" s="128"/>
      <c r="I827" s="12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</row>
    <row r="828" ht="10.5" customHeight="1">
      <c r="A828" s="127"/>
      <c r="B828" s="118"/>
      <c r="C828" s="128"/>
      <c r="D828" s="128"/>
      <c r="E828" s="128"/>
      <c r="F828" s="128"/>
      <c r="G828" s="128"/>
      <c r="H828" s="128"/>
      <c r="I828" s="12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</row>
    <row r="829" ht="10.5" customHeight="1">
      <c r="A829" s="127"/>
      <c r="B829" s="118"/>
      <c r="C829" s="128"/>
      <c r="D829" s="128"/>
      <c r="E829" s="128"/>
      <c r="F829" s="128"/>
      <c r="G829" s="128"/>
      <c r="H829" s="128"/>
      <c r="I829" s="12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</row>
    <row r="830" ht="10.5" customHeight="1">
      <c r="A830" s="127"/>
      <c r="B830" s="118"/>
      <c r="C830" s="128"/>
      <c r="D830" s="128"/>
      <c r="E830" s="128"/>
      <c r="F830" s="128"/>
      <c r="G830" s="128"/>
      <c r="H830" s="128"/>
      <c r="I830" s="12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</row>
    <row r="831" ht="10.5" customHeight="1">
      <c r="A831" s="127"/>
      <c r="B831" s="118"/>
      <c r="C831" s="128"/>
      <c r="D831" s="128"/>
      <c r="E831" s="128"/>
      <c r="F831" s="128"/>
      <c r="G831" s="128"/>
      <c r="H831" s="128"/>
      <c r="I831" s="12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</row>
    <row r="832" ht="10.5" customHeight="1">
      <c r="A832" s="127"/>
      <c r="B832" s="118"/>
      <c r="C832" s="128"/>
      <c r="D832" s="128"/>
      <c r="E832" s="128"/>
      <c r="F832" s="128"/>
      <c r="G832" s="128"/>
      <c r="H832" s="128"/>
      <c r="I832" s="12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</row>
    <row r="833" ht="10.5" customHeight="1">
      <c r="A833" s="127"/>
      <c r="B833" s="118"/>
      <c r="C833" s="128"/>
      <c r="D833" s="128"/>
      <c r="E833" s="128"/>
      <c r="F833" s="128"/>
      <c r="G833" s="128"/>
      <c r="H833" s="128"/>
      <c r="I833" s="12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</row>
    <row r="834" ht="10.5" customHeight="1">
      <c r="A834" s="127"/>
      <c r="B834" s="118"/>
      <c r="C834" s="128"/>
      <c r="D834" s="128"/>
      <c r="E834" s="128"/>
      <c r="F834" s="128"/>
      <c r="G834" s="128"/>
      <c r="H834" s="128"/>
      <c r="I834" s="12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</row>
    <row r="835" ht="10.5" customHeight="1">
      <c r="A835" s="127"/>
      <c r="B835" s="118"/>
      <c r="C835" s="128"/>
      <c r="D835" s="128"/>
      <c r="E835" s="128"/>
      <c r="F835" s="128"/>
      <c r="G835" s="128"/>
      <c r="H835" s="128"/>
      <c r="I835" s="12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</row>
    <row r="836" ht="10.5" customHeight="1">
      <c r="A836" s="127"/>
      <c r="B836" s="118"/>
      <c r="C836" s="128"/>
      <c r="D836" s="128"/>
      <c r="E836" s="128"/>
      <c r="F836" s="128"/>
      <c r="G836" s="128"/>
      <c r="H836" s="128"/>
      <c r="I836" s="12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</row>
    <row r="837" ht="10.5" customHeight="1">
      <c r="A837" s="127"/>
      <c r="B837" s="118"/>
      <c r="C837" s="128"/>
      <c r="D837" s="128"/>
      <c r="E837" s="128"/>
      <c r="F837" s="128"/>
      <c r="G837" s="128"/>
      <c r="H837" s="128"/>
      <c r="I837" s="12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</row>
    <row r="838" ht="10.5" customHeight="1">
      <c r="A838" s="127"/>
      <c r="B838" s="118"/>
      <c r="C838" s="128"/>
      <c r="D838" s="128"/>
      <c r="E838" s="128"/>
      <c r="F838" s="128"/>
      <c r="G838" s="128"/>
      <c r="H838" s="128"/>
      <c r="I838" s="12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</row>
    <row r="839" ht="10.5" customHeight="1">
      <c r="A839" s="127"/>
      <c r="B839" s="118"/>
      <c r="C839" s="128"/>
      <c r="D839" s="128"/>
      <c r="E839" s="128"/>
      <c r="F839" s="128"/>
      <c r="G839" s="128"/>
      <c r="H839" s="128"/>
      <c r="I839" s="12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</row>
    <row r="840" ht="10.5" customHeight="1">
      <c r="A840" s="127"/>
      <c r="B840" s="118"/>
      <c r="C840" s="128"/>
      <c r="D840" s="128"/>
      <c r="E840" s="128"/>
      <c r="F840" s="128"/>
      <c r="G840" s="128"/>
      <c r="H840" s="128"/>
      <c r="I840" s="12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</row>
    <row r="841" ht="10.5" customHeight="1">
      <c r="A841" s="127"/>
      <c r="B841" s="118"/>
      <c r="C841" s="128"/>
      <c r="D841" s="128"/>
      <c r="E841" s="128"/>
      <c r="F841" s="128"/>
      <c r="G841" s="128"/>
      <c r="H841" s="128"/>
      <c r="I841" s="12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</row>
    <row r="842" ht="10.5" customHeight="1">
      <c r="A842" s="127"/>
      <c r="B842" s="118"/>
      <c r="C842" s="128"/>
      <c r="D842" s="128"/>
      <c r="E842" s="128"/>
      <c r="F842" s="128"/>
      <c r="G842" s="128"/>
      <c r="H842" s="128"/>
      <c r="I842" s="12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</row>
    <row r="843" ht="10.5" customHeight="1">
      <c r="A843" s="127"/>
      <c r="B843" s="118"/>
      <c r="C843" s="128"/>
      <c r="D843" s="128"/>
      <c r="E843" s="128"/>
      <c r="F843" s="128"/>
      <c r="G843" s="128"/>
      <c r="H843" s="128"/>
      <c r="I843" s="12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</row>
    <row r="844" ht="10.5" customHeight="1">
      <c r="A844" s="127"/>
      <c r="B844" s="118"/>
      <c r="C844" s="128"/>
      <c r="D844" s="128"/>
      <c r="E844" s="128"/>
      <c r="F844" s="128"/>
      <c r="G844" s="128"/>
      <c r="H844" s="128"/>
      <c r="I844" s="12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</row>
    <row r="845" ht="10.5" customHeight="1">
      <c r="A845" s="127"/>
      <c r="B845" s="118"/>
      <c r="C845" s="128"/>
      <c r="D845" s="128"/>
      <c r="E845" s="128"/>
      <c r="F845" s="128"/>
      <c r="G845" s="128"/>
      <c r="H845" s="128"/>
      <c r="I845" s="12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</row>
    <row r="846" ht="10.5" customHeight="1">
      <c r="A846" s="127"/>
      <c r="B846" s="118"/>
      <c r="C846" s="128"/>
      <c r="D846" s="128"/>
      <c r="E846" s="128"/>
      <c r="F846" s="128"/>
      <c r="G846" s="128"/>
      <c r="H846" s="128"/>
      <c r="I846" s="12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</row>
    <row r="847" ht="10.5" customHeight="1">
      <c r="A847" s="127"/>
      <c r="B847" s="118"/>
      <c r="C847" s="128"/>
      <c r="D847" s="128"/>
      <c r="E847" s="128"/>
      <c r="F847" s="128"/>
      <c r="G847" s="128"/>
      <c r="H847" s="128"/>
      <c r="I847" s="12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</row>
    <row r="848" ht="10.5" customHeight="1">
      <c r="A848" s="127"/>
      <c r="B848" s="118"/>
      <c r="C848" s="128"/>
      <c r="D848" s="128"/>
      <c r="E848" s="128"/>
      <c r="F848" s="128"/>
      <c r="G848" s="128"/>
      <c r="H848" s="128"/>
      <c r="I848" s="12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</row>
    <row r="849" ht="10.5" customHeight="1">
      <c r="A849" s="127"/>
      <c r="B849" s="118"/>
      <c r="C849" s="128"/>
      <c r="D849" s="128"/>
      <c r="E849" s="128"/>
      <c r="F849" s="128"/>
      <c r="G849" s="128"/>
      <c r="H849" s="128"/>
      <c r="I849" s="12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</row>
    <row r="850" ht="10.5" customHeight="1">
      <c r="A850" s="127"/>
      <c r="B850" s="118"/>
      <c r="C850" s="128"/>
      <c r="D850" s="128"/>
      <c r="E850" s="128"/>
      <c r="F850" s="128"/>
      <c r="G850" s="128"/>
      <c r="H850" s="128"/>
      <c r="I850" s="12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</row>
    <row r="851" ht="10.5" customHeight="1">
      <c r="A851" s="127"/>
      <c r="B851" s="118"/>
      <c r="C851" s="128"/>
      <c r="D851" s="128"/>
      <c r="E851" s="128"/>
      <c r="F851" s="128"/>
      <c r="G851" s="128"/>
      <c r="H851" s="128"/>
      <c r="I851" s="12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</row>
    <row r="852" ht="10.5" customHeight="1">
      <c r="A852" s="127"/>
      <c r="B852" s="118"/>
      <c r="C852" s="128"/>
      <c r="D852" s="128"/>
      <c r="E852" s="128"/>
      <c r="F852" s="128"/>
      <c r="G852" s="128"/>
      <c r="H852" s="128"/>
      <c r="I852" s="12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</row>
    <row r="853" ht="10.5" customHeight="1">
      <c r="A853" s="127"/>
      <c r="B853" s="118"/>
      <c r="C853" s="128"/>
      <c r="D853" s="128"/>
      <c r="E853" s="128"/>
      <c r="F853" s="128"/>
      <c r="G853" s="128"/>
      <c r="H853" s="128"/>
      <c r="I853" s="12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</row>
    <row r="854" ht="10.5" customHeight="1">
      <c r="A854" s="127"/>
      <c r="B854" s="118"/>
      <c r="C854" s="128"/>
      <c r="D854" s="128"/>
      <c r="E854" s="128"/>
      <c r="F854" s="128"/>
      <c r="G854" s="128"/>
      <c r="H854" s="128"/>
      <c r="I854" s="12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</row>
    <row r="855" ht="10.5" customHeight="1">
      <c r="A855" s="127"/>
      <c r="B855" s="118"/>
      <c r="C855" s="128"/>
      <c r="D855" s="128"/>
      <c r="E855" s="128"/>
      <c r="F855" s="128"/>
      <c r="G855" s="128"/>
      <c r="H855" s="128"/>
      <c r="I855" s="12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</row>
    <row r="856" ht="10.5" customHeight="1">
      <c r="A856" s="127"/>
      <c r="B856" s="118"/>
      <c r="C856" s="128"/>
      <c r="D856" s="128"/>
      <c r="E856" s="128"/>
      <c r="F856" s="128"/>
      <c r="G856" s="128"/>
      <c r="H856" s="128"/>
      <c r="I856" s="12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</row>
    <row r="857" ht="10.5" customHeight="1">
      <c r="A857" s="127"/>
      <c r="B857" s="118"/>
      <c r="C857" s="128"/>
      <c r="D857" s="128"/>
      <c r="E857" s="128"/>
      <c r="F857" s="128"/>
      <c r="G857" s="128"/>
      <c r="H857" s="128"/>
      <c r="I857" s="12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</row>
    <row r="858" ht="10.5" customHeight="1">
      <c r="A858" s="127"/>
      <c r="B858" s="118"/>
      <c r="C858" s="128"/>
      <c r="D858" s="128"/>
      <c r="E858" s="128"/>
      <c r="F858" s="128"/>
      <c r="G858" s="128"/>
      <c r="H858" s="128"/>
      <c r="I858" s="12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</row>
    <row r="859" ht="10.5" customHeight="1">
      <c r="A859" s="127"/>
      <c r="B859" s="118"/>
      <c r="C859" s="128"/>
      <c r="D859" s="128"/>
      <c r="E859" s="128"/>
      <c r="F859" s="128"/>
      <c r="G859" s="128"/>
      <c r="H859" s="128"/>
      <c r="I859" s="12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</row>
    <row r="860" ht="10.5" customHeight="1">
      <c r="A860" s="127"/>
      <c r="B860" s="118"/>
      <c r="C860" s="128"/>
      <c r="D860" s="128"/>
      <c r="E860" s="128"/>
      <c r="F860" s="128"/>
      <c r="G860" s="128"/>
      <c r="H860" s="128"/>
      <c r="I860" s="12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</row>
    <row r="861" ht="10.5" customHeight="1">
      <c r="A861" s="127"/>
      <c r="B861" s="118"/>
      <c r="C861" s="128"/>
      <c r="D861" s="128"/>
      <c r="E861" s="128"/>
      <c r="F861" s="128"/>
      <c r="G861" s="128"/>
      <c r="H861" s="128"/>
      <c r="I861" s="12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</row>
    <row r="862" ht="10.5" customHeight="1">
      <c r="A862" s="127"/>
      <c r="B862" s="118"/>
      <c r="C862" s="128"/>
      <c r="D862" s="128"/>
      <c r="E862" s="128"/>
      <c r="F862" s="128"/>
      <c r="G862" s="128"/>
      <c r="H862" s="128"/>
      <c r="I862" s="12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</row>
    <row r="863" ht="10.5" customHeight="1">
      <c r="A863" s="127"/>
      <c r="B863" s="118"/>
      <c r="C863" s="128"/>
      <c r="D863" s="128"/>
      <c r="E863" s="128"/>
      <c r="F863" s="128"/>
      <c r="G863" s="128"/>
      <c r="H863" s="128"/>
      <c r="I863" s="12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</row>
    <row r="864" ht="10.5" customHeight="1">
      <c r="A864" s="127"/>
      <c r="B864" s="118"/>
      <c r="C864" s="128"/>
      <c r="D864" s="128"/>
      <c r="E864" s="128"/>
      <c r="F864" s="128"/>
      <c r="G864" s="128"/>
      <c r="H864" s="128"/>
      <c r="I864" s="12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</row>
    <row r="865" ht="10.5" customHeight="1">
      <c r="A865" s="127"/>
      <c r="B865" s="118"/>
      <c r="C865" s="128"/>
      <c r="D865" s="128"/>
      <c r="E865" s="128"/>
      <c r="F865" s="128"/>
      <c r="G865" s="128"/>
      <c r="H865" s="128"/>
      <c r="I865" s="12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</row>
    <row r="866" ht="10.5" customHeight="1">
      <c r="A866" s="127"/>
      <c r="B866" s="118"/>
      <c r="C866" s="128"/>
      <c r="D866" s="128"/>
      <c r="E866" s="128"/>
      <c r="F866" s="128"/>
      <c r="G866" s="128"/>
      <c r="H866" s="128"/>
      <c r="I866" s="12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</row>
    <row r="867" ht="10.5" customHeight="1">
      <c r="A867" s="127"/>
      <c r="B867" s="118"/>
      <c r="C867" s="128"/>
      <c r="D867" s="128"/>
      <c r="E867" s="128"/>
      <c r="F867" s="128"/>
      <c r="G867" s="128"/>
      <c r="H867" s="128"/>
      <c r="I867" s="12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</row>
    <row r="868" ht="10.5" customHeight="1">
      <c r="A868" s="127"/>
      <c r="B868" s="118"/>
      <c r="C868" s="128"/>
      <c r="D868" s="128"/>
      <c r="E868" s="128"/>
      <c r="F868" s="128"/>
      <c r="G868" s="128"/>
      <c r="H868" s="128"/>
      <c r="I868" s="12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</row>
    <row r="869" ht="10.5" customHeight="1">
      <c r="A869" s="127"/>
      <c r="B869" s="118"/>
      <c r="C869" s="128"/>
      <c r="D869" s="128"/>
      <c r="E869" s="128"/>
      <c r="F869" s="128"/>
      <c r="G869" s="128"/>
      <c r="H869" s="128"/>
      <c r="I869" s="12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</row>
    <row r="870" ht="10.5" customHeight="1">
      <c r="A870" s="127"/>
      <c r="B870" s="118"/>
      <c r="C870" s="128"/>
      <c r="D870" s="128"/>
      <c r="E870" s="128"/>
      <c r="F870" s="128"/>
      <c r="G870" s="128"/>
      <c r="H870" s="128"/>
      <c r="I870" s="12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</row>
    <row r="871" ht="10.5" customHeight="1">
      <c r="A871" s="127"/>
      <c r="B871" s="118"/>
      <c r="C871" s="128"/>
      <c r="D871" s="128"/>
      <c r="E871" s="128"/>
      <c r="F871" s="128"/>
      <c r="G871" s="128"/>
      <c r="H871" s="128"/>
      <c r="I871" s="12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</row>
    <row r="872" ht="10.5" customHeight="1">
      <c r="A872" s="127"/>
      <c r="B872" s="118"/>
      <c r="C872" s="128"/>
      <c r="D872" s="128"/>
      <c r="E872" s="128"/>
      <c r="F872" s="128"/>
      <c r="G872" s="128"/>
      <c r="H872" s="128"/>
      <c r="I872" s="12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</row>
    <row r="873" ht="10.5" customHeight="1">
      <c r="A873" s="127"/>
      <c r="B873" s="118"/>
      <c r="C873" s="128"/>
      <c r="D873" s="128"/>
      <c r="E873" s="128"/>
      <c r="F873" s="128"/>
      <c r="G873" s="128"/>
      <c r="H873" s="128"/>
      <c r="I873" s="12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</row>
    <row r="874" ht="10.5" customHeight="1">
      <c r="A874" s="127"/>
      <c r="B874" s="118"/>
      <c r="C874" s="128"/>
      <c r="D874" s="128"/>
      <c r="E874" s="128"/>
      <c r="F874" s="128"/>
      <c r="G874" s="128"/>
      <c r="H874" s="128"/>
      <c r="I874" s="12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</row>
    <row r="875" ht="10.5" customHeight="1">
      <c r="A875" s="127"/>
      <c r="B875" s="118"/>
      <c r="C875" s="128"/>
      <c r="D875" s="128"/>
      <c r="E875" s="128"/>
      <c r="F875" s="128"/>
      <c r="G875" s="128"/>
      <c r="H875" s="128"/>
      <c r="I875" s="12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</row>
    <row r="876" ht="10.5" customHeight="1">
      <c r="A876" s="127"/>
      <c r="B876" s="118"/>
      <c r="C876" s="128"/>
      <c r="D876" s="128"/>
      <c r="E876" s="128"/>
      <c r="F876" s="128"/>
      <c r="G876" s="128"/>
      <c r="H876" s="128"/>
      <c r="I876" s="12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</row>
    <row r="877" ht="10.5" customHeight="1">
      <c r="A877" s="127"/>
      <c r="B877" s="118"/>
      <c r="C877" s="128"/>
      <c r="D877" s="128"/>
      <c r="E877" s="128"/>
      <c r="F877" s="128"/>
      <c r="G877" s="128"/>
      <c r="H877" s="128"/>
      <c r="I877" s="12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</row>
    <row r="878" ht="10.5" customHeight="1">
      <c r="A878" s="127"/>
      <c r="B878" s="118"/>
      <c r="C878" s="128"/>
      <c r="D878" s="128"/>
      <c r="E878" s="128"/>
      <c r="F878" s="128"/>
      <c r="G878" s="128"/>
      <c r="H878" s="128"/>
      <c r="I878" s="12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</row>
    <row r="879" ht="10.5" customHeight="1">
      <c r="A879" s="127"/>
      <c r="B879" s="118"/>
      <c r="C879" s="128"/>
      <c r="D879" s="128"/>
      <c r="E879" s="128"/>
      <c r="F879" s="128"/>
      <c r="G879" s="128"/>
      <c r="H879" s="128"/>
      <c r="I879" s="12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</row>
    <row r="880" ht="10.5" customHeight="1">
      <c r="A880" s="127"/>
      <c r="B880" s="118"/>
      <c r="C880" s="128"/>
      <c r="D880" s="128"/>
      <c r="E880" s="128"/>
      <c r="F880" s="128"/>
      <c r="G880" s="128"/>
      <c r="H880" s="128"/>
      <c r="I880" s="12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</row>
    <row r="881" ht="10.5" customHeight="1">
      <c r="A881" s="127"/>
      <c r="B881" s="118"/>
      <c r="C881" s="128"/>
      <c r="D881" s="128"/>
      <c r="E881" s="128"/>
      <c r="F881" s="128"/>
      <c r="G881" s="128"/>
      <c r="H881" s="128"/>
      <c r="I881" s="12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</row>
    <row r="882" ht="10.5" customHeight="1">
      <c r="A882" s="127"/>
      <c r="B882" s="118"/>
      <c r="C882" s="128"/>
      <c r="D882" s="128"/>
      <c r="E882" s="128"/>
      <c r="F882" s="128"/>
      <c r="G882" s="128"/>
      <c r="H882" s="128"/>
      <c r="I882" s="12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</row>
    <row r="883" ht="10.5" customHeight="1">
      <c r="A883" s="127"/>
      <c r="B883" s="118"/>
      <c r="C883" s="128"/>
      <c r="D883" s="128"/>
      <c r="E883" s="128"/>
      <c r="F883" s="128"/>
      <c r="G883" s="128"/>
      <c r="H883" s="128"/>
      <c r="I883" s="12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</row>
    <row r="884" ht="10.5" customHeight="1">
      <c r="A884" s="127"/>
      <c r="B884" s="118"/>
      <c r="C884" s="128"/>
      <c r="D884" s="128"/>
      <c r="E884" s="128"/>
      <c r="F884" s="128"/>
      <c r="G884" s="128"/>
      <c r="H884" s="128"/>
      <c r="I884" s="12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</row>
    <row r="885" ht="10.5" customHeight="1">
      <c r="A885" s="127"/>
      <c r="B885" s="118"/>
      <c r="C885" s="128"/>
      <c r="D885" s="128"/>
      <c r="E885" s="128"/>
      <c r="F885" s="128"/>
      <c r="G885" s="128"/>
      <c r="H885" s="128"/>
      <c r="I885" s="12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</row>
    <row r="886" ht="10.5" customHeight="1">
      <c r="A886" s="127"/>
      <c r="B886" s="118"/>
      <c r="C886" s="128"/>
      <c r="D886" s="128"/>
      <c r="E886" s="128"/>
      <c r="F886" s="128"/>
      <c r="G886" s="128"/>
      <c r="H886" s="128"/>
      <c r="I886" s="12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</row>
    <row r="887" ht="10.5" customHeight="1">
      <c r="A887" s="127"/>
      <c r="B887" s="118"/>
      <c r="C887" s="128"/>
      <c r="D887" s="128"/>
      <c r="E887" s="128"/>
      <c r="F887" s="128"/>
      <c r="G887" s="128"/>
      <c r="H887" s="128"/>
      <c r="I887" s="12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</row>
    <row r="888" ht="10.5" customHeight="1">
      <c r="A888" s="127"/>
      <c r="B888" s="118"/>
      <c r="C888" s="128"/>
      <c r="D888" s="128"/>
      <c r="E888" s="128"/>
      <c r="F888" s="128"/>
      <c r="G888" s="128"/>
      <c r="H888" s="128"/>
      <c r="I888" s="12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</row>
    <row r="889" ht="10.5" customHeight="1">
      <c r="A889" s="127"/>
      <c r="B889" s="118"/>
      <c r="C889" s="128"/>
      <c r="D889" s="128"/>
      <c r="E889" s="128"/>
      <c r="F889" s="128"/>
      <c r="G889" s="128"/>
      <c r="H889" s="128"/>
      <c r="I889" s="12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</row>
    <row r="890" ht="10.5" customHeight="1">
      <c r="A890" s="127"/>
      <c r="B890" s="118"/>
      <c r="C890" s="128"/>
      <c r="D890" s="128"/>
      <c r="E890" s="128"/>
      <c r="F890" s="128"/>
      <c r="G890" s="128"/>
      <c r="H890" s="128"/>
      <c r="I890" s="12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</row>
    <row r="891" ht="10.5" customHeight="1">
      <c r="A891" s="127"/>
      <c r="B891" s="118"/>
      <c r="C891" s="128"/>
      <c r="D891" s="128"/>
      <c r="E891" s="128"/>
      <c r="F891" s="128"/>
      <c r="G891" s="128"/>
      <c r="H891" s="128"/>
      <c r="I891" s="12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</row>
    <row r="892" ht="10.5" customHeight="1">
      <c r="A892" s="127"/>
      <c r="B892" s="118"/>
      <c r="C892" s="128"/>
      <c r="D892" s="128"/>
      <c r="E892" s="128"/>
      <c r="F892" s="128"/>
      <c r="G892" s="128"/>
      <c r="H892" s="128"/>
      <c r="I892" s="12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</row>
    <row r="893" ht="10.5" customHeight="1">
      <c r="A893" s="127"/>
      <c r="B893" s="118"/>
      <c r="C893" s="128"/>
      <c r="D893" s="128"/>
      <c r="E893" s="128"/>
      <c r="F893" s="128"/>
      <c r="G893" s="128"/>
      <c r="H893" s="128"/>
      <c r="I893" s="12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</row>
    <row r="894" ht="10.5" customHeight="1">
      <c r="A894" s="127"/>
      <c r="B894" s="118"/>
      <c r="C894" s="128"/>
      <c r="D894" s="128"/>
      <c r="E894" s="128"/>
      <c r="F894" s="128"/>
      <c r="G894" s="128"/>
      <c r="H894" s="128"/>
      <c r="I894" s="12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</row>
    <row r="895" ht="10.5" customHeight="1">
      <c r="A895" s="127"/>
      <c r="B895" s="118"/>
      <c r="C895" s="128"/>
      <c r="D895" s="128"/>
      <c r="E895" s="128"/>
      <c r="F895" s="128"/>
      <c r="G895" s="128"/>
      <c r="H895" s="128"/>
      <c r="I895" s="12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</row>
    <row r="896" ht="10.5" customHeight="1">
      <c r="A896" s="127"/>
      <c r="B896" s="118"/>
      <c r="C896" s="128"/>
      <c r="D896" s="128"/>
      <c r="E896" s="128"/>
      <c r="F896" s="128"/>
      <c r="G896" s="128"/>
      <c r="H896" s="128"/>
      <c r="I896" s="12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</row>
    <row r="897" ht="10.5" customHeight="1">
      <c r="A897" s="127"/>
      <c r="B897" s="118"/>
      <c r="C897" s="128"/>
      <c r="D897" s="128"/>
      <c r="E897" s="128"/>
      <c r="F897" s="128"/>
      <c r="G897" s="128"/>
      <c r="H897" s="128"/>
      <c r="I897" s="12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</row>
    <row r="898" ht="10.5" customHeight="1">
      <c r="A898" s="127"/>
      <c r="B898" s="118"/>
      <c r="C898" s="128"/>
      <c r="D898" s="128"/>
      <c r="E898" s="128"/>
      <c r="F898" s="128"/>
      <c r="G898" s="128"/>
      <c r="H898" s="128"/>
      <c r="I898" s="12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</row>
    <row r="899" ht="10.5" customHeight="1">
      <c r="A899" s="127"/>
      <c r="B899" s="118"/>
      <c r="C899" s="128"/>
      <c r="D899" s="128"/>
      <c r="E899" s="128"/>
      <c r="F899" s="128"/>
      <c r="G899" s="128"/>
      <c r="H899" s="128"/>
      <c r="I899" s="12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</row>
    <row r="900" ht="10.5" customHeight="1">
      <c r="A900" s="127"/>
      <c r="B900" s="118"/>
      <c r="C900" s="128"/>
      <c r="D900" s="128"/>
      <c r="E900" s="128"/>
      <c r="F900" s="128"/>
      <c r="G900" s="128"/>
      <c r="H900" s="128"/>
      <c r="I900" s="12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</row>
    <row r="901" ht="10.5" customHeight="1">
      <c r="A901" s="127"/>
      <c r="B901" s="118"/>
      <c r="C901" s="128"/>
      <c r="D901" s="128"/>
      <c r="E901" s="128"/>
      <c r="F901" s="128"/>
      <c r="G901" s="128"/>
      <c r="H901" s="128"/>
      <c r="I901" s="12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</row>
    <row r="902" ht="10.5" customHeight="1">
      <c r="A902" s="127"/>
      <c r="B902" s="118"/>
      <c r="C902" s="128"/>
      <c r="D902" s="128"/>
      <c r="E902" s="128"/>
      <c r="F902" s="128"/>
      <c r="G902" s="128"/>
      <c r="H902" s="128"/>
      <c r="I902" s="12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</row>
    <row r="903" ht="10.5" customHeight="1">
      <c r="A903" s="127"/>
      <c r="B903" s="118"/>
      <c r="C903" s="128"/>
      <c r="D903" s="128"/>
      <c r="E903" s="128"/>
      <c r="F903" s="128"/>
      <c r="G903" s="128"/>
      <c r="H903" s="128"/>
      <c r="I903" s="12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</row>
    <row r="904" ht="10.5" customHeight="1">
      <c r="A904" s="127"/>
      <c r="B904" s="118"/>
      <c r="C904" s="128"/>
      <c r="D904" s="128"/>
      <c r="E904" s="128"/>
      <c r="F904" s="128"/>
      <c r="G904" s="128"/>
      <c r="H904" s="128"/>
      <c r="I904" s="12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</row>
    <row r="905" ht="10.5" customHeight="1">
      <c r="A905" s="127"/>
      <c r="B905" s="118"/>
      <c r="C905" s="128"/>
      <c r="D905" s="128"/>
      <c r="E905" s="128"/>
      <c r="F905" s="128"/>
      <c r="G905" s="128"/>
      <c r="H905" s="128"/>
      <c r="I905" s="12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</row>
    <row r="906" ht="10.5" customHeight="1">
      <c r="A906" s="127"/>
      <c r="B906" s="118"/>
      <c r="C906" s="128"/>
      <c r="D906" s="128"/>
      <c r="E906" s="128"/>
      <c r="F906" s="128"/>
      <c r="G906" s="128"/>
      <c r="H906" s="128"/>
      <c r="I906" s="12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</row>
    <row r="907" ht="10.5" customHeight="1">
      <c r="A907" s="127"/>
      <c r="B907" s="118"/>
      <c r="C907" s="128"/>
      <c r="D907" s="128"/>
      <c r="E907" s="128"/>
      <c r="F907" s="128"/>
      <c r="G907" s="128"/>
      <c r="H907" s="128"/>
      <c r="I907" s="12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</row>
    <row r="908" ht="10.5" customHeight="1">
      <c r="A908" s="127"/>
      <c r="B908" s="118"/>
      <c r="C908" s="128"/>
      <c r="D908" s="128"/>
      <c r="E908" s="128"/>
      <c r="F908" s="128"/>
      <c r="G908" s="128"/>
      <c r="H908" s="128"/>
      <c r="I908" s="12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</row>
    <row r="909" ht="10.5" customHeight="1">
      <c r="A909" s="127"/>
      <c r="B909" s="118"/>
      <c r="C909" s="128"/>
      <c r="D909" s="128"/>
      <c r="E909" s="128"/>
      <c r="F909" s="128"/>
      <c r="G909" s="128"/>
      <c r="H909" s="128"/>
      <c r="I909" s="12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</row>
    <row r="910" ht="10.5" customHeight="1">
      <c r="A910" s="127"/>
      <c r="B910" s="118"/>
      <c r="C910" s="128"/>
      <c r="D910" s="128"/>
      <c r="E910" s="128"/>
      <c r="F910" s="128"/>
      <c r="G910" s="128"/>
      <c r="H910" s="128"/>
      <c r="I910" s="12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</row>
    <row r="911" ht="10.5" customHeight="1">
      <c r="A911" s="127"/>
      <c r="B911" s="118"/>
      <c r="C911" s="128"/>
      <c r="D911" s="128"/>
      <c r="E911" s="128"/>
      <c r="F911" s="128"/>
      <c r="G911" s="128"/>
      <c r="H911" s="128"/>
      <c r="I911" s="12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</row>
    <row r="912" ht="10.5" customHeight="1">
      <c r="A912" s="127"/>
      <c r="B912" s="118"/>
      <c r="C912" s="128"/>
      <c r="D912" s="128"/>
      <c r="E912" s="128"/>
      <c r="F912" s="128"/>
      <c r="G912" s="128"/>
      <c r="H912" s="128"/>
      <c r="I912" s="12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</row>
    <row r="913" ht="10.5" customHeight="1">
      <c r="A913" s="127"/>
      <c r="B913" s="118"/>
      <c r="C913" s="128"/>
      <c r="D913" s="128"/>
      <c r="E913" s="128"/>
      <c r="F913" s="128"/>
      <c r="G913" s="128"/>
      <c r="H913" s="128"/>
      <c r="I913" s="12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</row>
    <row r="914" ht="10.5" customHeight="1">
      <c r="A914" s="127"/>
      <c r="B914" s="118"/>
      <c r="C914" s="128"/>
      <c r="D914" s="128"/>
      <c r="E914" s="128"/>
      <c r="F914" s="128"/>
      <c r="G914" s="128"/>
      <c r="H914" s="128"/>
      <c r="I914" s="12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</row>
    <row r="915" ht="10.5" customHeight="1">
      <c r="A915" s="127"/>
      <c r="B915" s="118"/>
      <c r="C915" s="128"/>
      <c r="D915" s="128"/>
      <c r="E915" s="128"/>
      <c r="F915" s="128"/>
      <c r="G915" s="128"/>
      <c r="H915" s="128"/>
      <c r="I915" s="12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</row>
    <row r="916" ht="10.5" customHeight="1">
      <c r="A916" s="127"/>
      <c r="B916" s="118"/>
      <c r="C916" s="128"/>
      <c r="D916" s="128"/>
      <c r="E916" s="128"/>
      <c r="F916" s="128"/>
      <c r="G916" s="128"/>
      <c r="H916" s="128"/>
      <c r="I916" s="12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</row>
    <row r="917" ht="10.5" customHeight="1">
      <c r="A917" s="127"/>
      <c r="B917" s="118"/>
      <c r="C917" s="128"/>
      <c r="D917" s="128"/>
      <c r="E917" s="128"/>
      <c r="F917" s="128"/>
      <c r="G917" s="128"/>
      <c r="H917" s="128"/>
      <c r="I917" s="12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</row>
    <row r="918" ht="10.5" customHeight="1">
      <c r="A918" s="127"/>
      <c r="B918" s="118"/>
      <c r="C918" s="128"/>
      <c r="D918" s="128"/>
      <c r="E918" s="128"/>
      <c r="F918" s="128"/>
      <c r="G918" s="128"/>
      <c r="H918" s="128"/>
      <c r="I918" s="12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</row>
    <row r="919" ht="10.5" customHeight="1">
      <c r="A919" s="127"/>
      <c r="B919" s="118"/>
      <c r="C919" s="128"/>
      <c r="D919" s="128"/>
      <c r="E919" s="128"/>
      <c r="F919" s="128"/>
      <c r="G919" s="128"/>
      <c r="H919" s="128"/>
      <c r="I919" s="12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</row>
    <row r="920" ht="10.5" customHeight="1">
      <c r="A920" s="127"/>
      <c r="B920" s="118"/>
      <c r="C920" s="128"/>
      <c r="D920" s="128"/>
      <c r="E920" s="128"/>
      <c r="F920" s="128"/>
      <c r="G920" s="128"/>
      <c r="H920" s="128"/>
      <c r="I920" s="12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</row>
    <row r="921" ht="10.5" customHeight="1">
      <c r="A921" s="127"/>
      <c r="B921" s="118"/>
      <c r="C921" s="128"/>
      <c r="D921" s="128"/>
      <c r="E921" s="128"/>
      <c r="F921" s="128"/>
      <c r="G921" s="128"/>
      <c r="H921" s="128"/>
      <c r="I921" s="12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</row>
    <row r="922" ht="10.5" customHeight="1">
      <c r="A922" s="127"/>
      <c r="B922" s="118"/>
      <c r="C922" s="128"/>
      <c r="D922" s="128"/>
      <c r="E922" s="128"/>
      <c r="F922" s="128"/>
      <c r="G922" s="128"/>
      <c r="H922" s="128"/>
      <c r="I922" s="12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</row>
    <row r="923" ht="10.5" customHeight="1">
      <c r="A923" s="127"/>
      <c r="B923" s="118"/>
      <c r="C923" s="128"/>
      <c r="D923" s="128"/>
      <c r="E923" s="128"/>
      <c r="F923" s="128"/>
      <c r="G923" s="128"/>
      <c r="H923" s="128"/>
      <c r="I923" s="12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</row>
    <row r="924" ht="10.5" customHeight="1">
      <c r="A924" s="127"/>
      <c r="B924" s="118"/>
      <c r="C924" s="128"/>
      <c r="D924" s="128"/>
      <c r="E924" s="128"/>
      <c r="F924" s="128"/>
      <c r="G924" s="128"/>
      <c r="H924" s="128"/>
      <c r="I924" s="12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</row>
    <row r="925" ht="10.5" customHeight="1">
      <c r="A925" s="127"/>
      <c r="B925" s="118"/>
      <c r="C925" s="128"/>
      <c r="D925" s="128"/>
      <c r="E925" s="128"/>
      <c r="F925" s="128"/>
      <c r="G925" s="128"/>
      <c r="H925" s="128"/>
      <c r="I925" s="12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</row>
    <row r="926" ht="10.5" customHeight="1">
      <c r="A926" s="127"/>
      <c r="B926" s="118"/>
      <c r="C926" s="128"/>
      <c r="D926" s="128"/>
      <c r="E926" s="128"/>
      <c r="F926" s="128"/>
      <c r="G926" s="128"/>
      <c r="H926" s="128"/>
      <c r="I926" s="12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</row>
    <row r="927" ht="10.5" customHeight="1">
      <c r="A927" s="127"/>
      <c r="B927" s="118"/>
      <c r="C927" s="128"/>
      <c r="D927" s="128"/>
      <c r="E927" s="128"/>
      <c r="F927" s="128"/>
      <c r="G927" s="128"/>
      <c r="H927" s="128"/>
      <c r="I927" s="12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</row>
    <row r="928" ht="10.5" customHeight="1">
      <c r="A928" s="127"/>
      <c r="B928" s="118"/>
      <c r="C928" s="128"/>
      <c r="D928" s="128"/>
      <c r="E928" s="128"/>
      <c r="F928" s="128"/>
      <c r="G928" s="128"/>
      <c r="H928" s="128"/>
      <c r="I928" s="12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</row>
    <row r="929" ht="10.5" customHeight="1">
      <c r="A929" s="127"/>
      <c r="B929" s="118"/>
      <c r="C929" s="128"/>
      <c r="D929" s="128"/>
      <c r="E929" s="128"/>
      <c r="F929" s="128"/>
      <c r="G929" s="128"/>
      <c r="H929" s="128"/>
      <c r="I929" s="12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</row>
    <row r="930" ht="10.5" customHeight="1">
      <c r="A930" s="127"/>
      <c r="B930" s="118"/>
      <c r="C930" s="128"/>
      <c r="D930" s="128"/>
      <c r="E930" s="128"/>
      <c r="F930" s="128"/>
      <c r="G930" s="128"/>
      <c r="H930" s="128"/>
      <c r="I930" s="12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</row>
    <row r="931" ht="10.5" customHeight="1">
      <c r="A931" s="127"/>
      <c r="B931" s="118"/>
      <c r="C931" s="128"/>
      <c r="D931" s="128"/>
      <c r="E931" s="128"/>
      <c r="F931" s="128"/>
      <c r="G931" s="128"/>
      <c r="H931" s="128"/>
      <c r="I931" s="12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</row>
    <row r="932" ht="10.5" customHeight="1">
      <c r="A932" s="127"/>
      <c r="B932" s="118"/>
      <c r="C932" s="128"/>
      <c r="D932" s="128"/>
      <c r="E932" s="128"/>
      <c r="F932" s="128"/>
      <c r="G932" s="128"/>
      <c r="H932" s="128"/>
      <c r="I932" s="12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</row>
    <row r="933" ht="10.5" customHeight="1">
      <c r="A933" s="127"/>
      <c r="B933" s="118"/>
      <c r="C933" s="128"/>
      <c r="D933" s="128"/>
      <c r="E933" s="128"/>
      <c r="F933" s="128"/>
      <c r="G933" s="128"/>
      <c r="H933" s="128"/>
      <c r="I933" s="12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</row>
    <row r="934" ht="10.5" customHeight="1">
      <c r="A934" s="127"/>
      <c r="B934" s="118"/>
      <c r="C934" s="128"/>
      <c r="D934" s="128"/>
      <c r="E934" s="128"/>
      <c r="F934" s="128"/>
      <c r="G934" s="128"/>
      <c r="H934" s="128"/>
      <c r="I934" s="12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</row>
    <row r="935" ht="10.5" customHeight="1">
      <c r="A935" s="127"/>
      <c r="B935" s="118"/>
      <c r="C935" s="128"/>
      <c r="D935" s="128"/>
      <c r="E935" s="128"/>
      <c r="F935" s="128"/>
      <c r="G935" s="128"/>
      <c r="H935" s="128"/>
      <c r="I935" s="12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</row>
    <row r="936" ht="10.5" customHeight="1">
      <c r="A936" s="127"/>
      <c r="B936" s="118"/>
      <c r="C936" s="128"/>
      <c r="D936" s="128"/>
      <c r="E936" s="128"/>
      <c r="F936" s="128"/>
      <c r="G936" s="128"/>
      <c r="H936" s="128"/>
      <c r="I936" s="12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</row>
    <row r="937" ht="10.5" customHeight="1">
      <c r="A937" s="127"/>
      <c r="B937" s="118"/>
      <c r="C937" s="128"/>
      <c r="D937" s="128"/>
      <c r="E937" s="128"/>
      <c r="F937" s="128"/>
      <c r="G937" s="128"/>
      <c r="H937" s="128"/>
      <c r="I937" s="12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</row>
    <row r="938" ht="10.5" customHeight="1">
      <c r="A938" s="127"/>
      <c r="B938" s="118"/>
      <c r="C938" s="128"/>
      <c r="D938" s="128"/>
      <c r="E938" s="128"/>
      <c r="F938" s="128"/>
      <c r="G938" s="128"/>
      <c r="H938" s="128"/>
      <c r="I938" s="12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</row>
    <row r="939" ht="10.5" customHeight="1">
      <c r="A939" s="127"/>
      <c r="B939" s="118"/>
      <c r="C939" s="128"/>
      <c r="D939" s="128"/>
      <c r="E939" s="128"/>
      <c r="F939" s="128"/>
      <c r="G939" s="128"/>
      <c r="H939" s="128"/>
      <c r="I939" s="12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</row>
    <row r="940" ht="10.5" customHeight="1">
      <c r="A940" s="127"/>
      <c r="B940" s="118"/>
      <c r="C940" s="128"/>
      <c r="D940" s="128"/>
      <c r="E940" s="128"/>
      <c r="F940" s="128"/>
      <c r="G940" s="128"/>
      <c r="H940" s="128"/>
      <c r="I940" s="12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</row>
    <row r="941" ht="10.5" customHeight="1">
      <c r="A941" s="127"/>
      <c r="B941" s="118"/>
      <c r="C941" s="128"/>
      <c r="D941" s="128"/>
      <c r="E941" s="128"/>
      <c r="F941" s="128"/>
      <c r="G941" s="128"/>
      <c r="H941" s="128"/>
      <c r="I941" s="12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</row>
    <row r="942" ht="10.5" customHeight="1">
      <c r="A942" s="127"/>
      <c r="B942" s="118"/>
      <c r="C942" s="128"/>
      <c r="D942" s="128"/>
      <c r="E942" s="128"/>
      <c r="F942" s="128"/>
      <c r="G942" s="128"/>
      <c r="H942" s="128"/>
      <c r="I942" s="12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</row>
    <row r="943" ht="10.5" customHeight="1">
      <c r="A943" s="127"/>
      <c r="B943" s="118"/>
      <c r="C943" s="128"/>
      <c r="D943" s="128"/>
      <c r="E943" s="128"/>
      <c r="F943" s="128"/>
      <c r="G943" s="128"/>
      <c r="H943" s="128"/>
      <c r="I943" s="12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</row>
    <row r="944" ht="10.5" customHeight="1">
      <c r="A944" s="127"/>
      <c r="B944" s="118"/>
      <c r="C944" s="128"/>
      <c r="D944" s="128"/>
      <c r="E944" s="128"/>
      <c r="F944" s="128"/>
      <c r="G944" s="128"/>
      <c r="H944" s="128"/>
      <c r="I944" s="12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</row>
    <row r="945" ht="10.5" customHeight="1">
      <c r="A945" s="127"/>
      <c r="B945" s="118"/>
      <c r="C945" s="128"/>
      <c r="D945" s="128"/>
      <c r="E945" s="128"/>
      <c r="F945" s="128"/>
      <c r="G945" s="128"/>
      <c r="H945" s="128"/>
      <c r="I945" s="12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</row>
    <row r="946" ht="10.5" customHeight="1">
      <c r="A946" s="127"/>
      <c r="B946" s="118"/>
      <c r="C946" s="128"/>
      <c r="D946" s="128"/>
      <c r="E946" s="128"/>
      <c r="F946" s="128"/>
      <c r="G946" s="128"/>
      <c r="H946" s="128"/>
      <c r="I946" s="12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</row>
    <row r="947" ht="10.5" customHeight="1">
      <c r="A947" s="127"/>
      <c r="B947" s="118"/>
      <c r="C947" s="128"/>
      <c r="D947" s="128"/>
      <c r="E947" s="128"/>
      <c r="F947" s="128"/>
      <c r="G947" s="128"/>
      <c r="H947" s="128"/>
      <c r="I947" s="12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</row>
    <row r="948" ht="10.5" customHeight="1">
      <c r="A948" s="127"/>
      <c r="B948" s="118"/>
      <c r="C948" s="128"/>
      <c r="D948" s="128"/>
      <c r="E948" s="128"/>
      <c r="F948" s="128"/>
      <c r="G948" s="128"/>
      <c r="H948" s="128"/>
      <c r="I948" s="12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</row>
    <row r="949" ht="10.5" customHeight="1">
      <c r="A949" s="127"/>
      <c r="B949" s="118"/>
      <c r="C949" s="128"/>
      <c r="D949" s="128"/>
      <c r="E949" s="128"/>
      <c r="F949" s="128"/>
      <c r="G949" s="128"/>
      <c r="H949" s="128"/>
      <c r="I949" s="12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</row>
    <row r="950" ht="10.5" customHeight="1">
      <c r="A950" s="127"/>
      <c r="B950" s="118"/>
      <c r="C950" s="128"/>
      <c r="D950" s="128"/>
      <c r="E950" s="128"/>
      <c r="F950" s="128"/>
      <c r="G950" s="128"/>
      <c r="H950" s="128"/>
      <c r="I950" s="12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</row>
    <row r="951" ht="10.5" customHeight="1">
      <c r="A951" s="127"/>
      <c r="B951" s="118"/>
      <c r="C951" s="128"/>
      <c r="D951" s="128"/>
      <c r="E951" s="128"/>
      <c r="F951" s="128"/>
      <c r="G951" s="128"/>
      <c r="H951" s="128"/>
      <c r="I951" s="12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</row>
    <row r="952" ht="10.5" customHeight="1">
      <c r="A952" s="127"/>
      <c r="B952" s="118"/>
      <c r="C952" s="128"/>
      <c r="D952" s="128"/>
      <c r="E952" s="128"/>
      <c r="F952" s="128"/>
      <c r="G952" s="128"/>
      <c r="H952" s="128"/>
      <c r="I952" s="12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</row>
    <row r="953" ht="10.5" customHeight="1">
      <c r="A953" s="127"/>
      <c r="B953" s="118"/>
      <c r="C953" s="128"/>
      <c r="D953" s="128"/>
      <c r="E953" s="128"/>
      <c r="F953" s="128"/>
      <c r="G953" s="128"/>
      <c r="H953" s="128"/>
      <c r="I953" s="12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</row>
    <row r="954" ht="10.5" customHeight="1">
      <c r="A954" s="127"/>
      <c r="B954" s="118"/>
      <c r="C954" s="128"/>
      <c r="D954" s="128"/>
      <c r="E954" s="128"/>
      <c r="F954" s="128"/>
      <c r="G954" s="128"/>
      <c r="H954" s="128"/>
      <c r="I954" s="12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</row>
    <row r="955" ht="10.5" customHeight="1">
      <c r="A955" s="127"/>
      <c r="B955" s="118"/>
      <c r="C955" s="128"/>
      <c r="D955" s="128"/>
      <c r="E955" s="128"/>
      <c r="F955" s="128"/>
      <c r="G955" s="128"/>
      <c r="H955" s="128"/>
      <c r="I955" s="12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</row>
    <row r="956" ht="10.5" customHeight="1">
      <c r="A956" s="127"/>
      <c r="B956" s="118"/>
      <c r="C956" s="128"/>
      <c r="D956" s="128"/>
      <c r="E956" s="128"/>
      <c r="F956" s="128"/>
      <c r="G956" s="128"/>
      <c r="H956" s="128"/>
      <c r="I956" s="12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</row>
    <row r="957" ht="10.5" customHeight="1">
      <c r="A957" s="127"/>
      <c r="B957" s="118"/>
      <c r="C957" s="128"/>
      <c r="D957" s="128"/>
      <c r="E957" s="128"/>
      <c r="F957" s="128"/>
      <c r="G957" s="128"/>
      <c r="H957" s="128"/>
      <c r="I957" s="12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</row>
    <row r="958" ht="10.5" customHeight="1">
      <c r="A958" s="127"/>
      <c r="B958" s="118"/>
      <c r="C958" s="128"/>
      <c r="D958" s="128"/>
      <c r="E958" s="128"/>
      <c r="F958" s="128"/>
      <c r="G958" s="128"/>
      <c r="H958" s="128"/>
      <c r="I958" s="12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</row>
    <row r="959" ht="10.5" customHeight="1">
      <c r="A959" s="127"/>
      <c r="B959" s="118"/>
      <c r="C959" s="128"/>
      <c r="D959" s="128"/>
      <c r="E959" s="128"/>
      <c r="F959" s="128"/>
      <c r="G959" s="128"/>
      <c r="H959" s="128"/>
      <c r="I959" s="12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</row>
    <row r="960" ht="10.5" customHeight="1">
      <c r="A960" s="127"/>
      <c r="B960" s="118"/>
      <c r="C960" s="128"/>
      <c r="D960" s="128"/>
      <c r="E960" s="128"/>
      <c r="F960" s="128"/>
      <c r="G960" s="128"/>
      <c r="H960" s="128"/>
      <c r="I960" s="12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</row>
    <row r="961" ht="10.5" customHeight="1">
      <c r="A961" s="127"/>
      <c r="B961" s="118"/>
      <c r="C961" s="128"/>
      <c r="D961" s="128"/>
      <c r="E961" s="128"/>
      <c r="F961" s="128"/>
      <c r="G961" s="128"/>
      <c r="H961" s="128"/>
      <c r="I961" s="12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</row>
    <row r="962" ht="10.5" customHeight="1">
      <c r="A962" s="127"/>
      <c r="B962" s="118"/>
      <c r="C962" s="128"/>
      <c r="D962" s="128"/>
      <c r="E962" s="128"/>
      <c r="F962" s="128"/>
      <c r="G962" s="128"/>
      <c r="H962" s="128"/>
      <c r="I962" s="12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</row>
    <row r="963" ht="10.5" customHeight="1">
      <c r="A963" s="127"/>
      <c r="B963" s="118"/>
      <c r="C963" s="128"/>
      <c r="D963" s="128"/>
      <c r="E963" s="128"/>
      <c r="F963" s="128"/>
      <c r="G963" s="128"/>
      <c r="H963" s="128"/>
      <c r="I963" s="12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</row>
    <row r="964" ht="10.5" customHeight="1">
      <c r="A964" s="127"/>
      <c r="B964" s="118"/>
      <c r="C964" s="128"/>
      <c r="D964" s="128"/>
      <c r="E964" s="128"/>
      <c r="F964" s="128"/>
      <c r="G964" s="128"/>
      <c r="H964" s="128"/>
      <c r="I964" s="12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</row>
    <row r="965" ht="10.5" customHeight="1">
      <c r="A965" s="127"/>
      <c r="B965" s="118"/>
      <c r="C965" s="128"/>
      <c r="D965" s="128"/>
      <c r="E965" s="128"/>
      <c r="F965" s="128"/>
      <c r="G965" s="128"/>
      <c r="H965" s="128"/>
      <c r="I965" s="12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</row>
    <row r="966" ht="10.5" customHeight="1">
      <c r="A966" s="127"/>
      <c r="B966" s="118"/>
      <c r="C966" s="128"/>
      <c r="D966" s="128"/>
      <c r="E966" s="128"/>
      <c r="F966" s="128"/>
      <c r="G966" s="128"/>
      <c r="H966" s="128"/>
      <c r="I966" s="12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</row>
    <row r="967" ht="10.5" customHeight="1">
      <c r="A967" s="127"/>
      <c r="B967" s="118"/>
      <c r="C967" s="128"/>
      <c r="D967" s="128"/>
      <c r="E967" s="128"/>
      <c r="F967" s="128"/>
      <c r="G967" s="128"/>
      <c r="H967" s="128"/>
      <c r="I967" s="12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</row>
    <row r="968" ht="10.5" customHeight="1">
      <c r="A968" s="127"/>
      <c r="B968" s="118"/>
      <c r="C968" s="128"/>
      <c r="D968" s="128"/>
      <c r="E968" s="128"/>
      <c r="F968" s="128"/>
      <c r="G968" s="128"/>
      <c r="H968" s="128"/>
      <c r="I968" s="12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</row>
    <row r="969" ht="10.5" customHeight="1">
      <c r="A969" s="127"/>
      <c r="B969" s="118"/>
      <c r="C969" s="128"/>
      <c r="D969" s="128"/>
      <c r="E969" s="128"/>
      <c r="F969" s="128"/>
      <c r="G969" s="128"/>
      <c r="H969" s="128"/>
      <c r="I969" s="12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</row>
    <row r="970" ht="10.5" customHeight="1">
      <c r="A970" s="127"/>
      <c r="B970" s="118"/>
      <c r="C970" s="128"/>
      <c r="D970" s="128"/>
      <c r="E970" s="128"/>
      <c r="F970" s="128"/>
      <c r="G970" s="128"/>
      <c r="H970" s="128"/>
      <c r="I970" s="12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</row>
    <row r="971" ht="10.5" customHeight="1">
      <c r="A971" s="127"/>
      <c r="B971" s="118"/>
      <c r="C971" s="128"/>
      <c r="D971" s="128"/>
      <c r="E971" s="128"/>
      <c r="F971" s="128"/>
      <c r="G971" s="128"/>
      <c r="H971" s="128"/>
      <c r="I971" s="12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</row>
    <row r="972" ht="10.5" customHeight="1">
      <c r="A972" s="127"/>
      <c r="B972" s="118"/>
      <c r="C972" s="128"/>
      <c r="D972" s="128"/>
      <c r="E972" s="128"/>
      <c r="F972" s="128"/>
      <c r="G972" s="128"/>
      <c r="H972" s="128"/>
      <c r="I972" s="12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</row>
    <row r="973" ht="10.5" customHeight="1">
      <c r="A973" s="127"/>
      <c r="B973" s="118"/>
      <c r="C973" s="128"/>
      <c r="D973" s="128"/>
      <c r="E973" s="128"/>
      <c r="F973" s="128"/>
      <c r="G973" s="128"/>
      <c r="H973" s="128"/>
      <c r="I973" s="12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</row>
    <row r="974" ht="10.5" customHeight="1">
      <c r="A974" s="127"/>
      <c r="B974" s="118"/>
      <c r="C974" s="128"/>
      <c r="D974" s="128"/>
      <c r="E974" s="128"/>
      <c r="F974" s="128"/>
      <c r="G974" s="128"/>
      <c r="H974" s="128"/>
      <c r="I974" s="12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</row>
    <row r="975" ht="10.5" customHeight="1">
      <c r="A975" s="127"/>
      <c r="B975" s="118"/>
      <c r="C975" s="128"/>
      <c r="D975" s="128"/>
      <c r="E975" s="128"/>
      <c r="F975" s="128"/>
      <c r="G975" s="128"/>
      <c r="H975" s="128"/>
      <c r="I975" s="12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</row>
    <row r="976" ht="10.5" customHeight="1">
      <c r="A976" s="127"/>
      <c r="B976" s="118"/>
      <c r="C976" s="128"/>
      <c r="D976" s="128"/>
      <c r="E976" s="128"/>
      <c r="F976" s="128"/>
      <c r="G976" s="128"/>
      <c r="H976" s="128"/>
      <c r="I976" s="12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</row>
    <row r="977" ht="10.5" customHeight="1">
      <c r="A977" s="127"/>
      <c r="B977" s="118"/>
      <c r="C977" s="128"/>
      <c r="D977" s="128"/>
      <c r="E977" s="128"/>
      <c r="F977" s="128"/>
      <c r="G977" s="128"/>
      <c r="H977" s="128"/>
      <c r="I977" s="12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</row>
    <row r="978" ht="10.5" customHeight="1">
      <c r="A978" s="127"/>
      <c r="B978" s="118"/>
      <c r="C978" s="128"/>
      <c r="D978" s="128"/>
      <c r="E978" s="128"/>
      <c r="F978" s="128"/>
      <c r="G978" s="128"/>
      <c r="H978" s="128"/>
      <c r="I978" s="12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</row>
    <row r="979" ht="10.5" customHeight="1">
      <c r="A979" s="127"/>
      <c r="B979" s="118"/>
      <c r="C979" s="128"/>
      <c r="D979" s="128"/>
      <c r="E979" s="128"/>
      <c r="F979" s="128"/>
      <c r="G979" s="128"/>
      <c r="H979" s="128"/>
      <c r="I979" s="12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</row>
    <row r="980" ht="10.5" customHeight="1">
      <c r="A980" s="127"/>
      <c r="B980" s="118"/>
      <c r="C980" s="128"/>
      <c r="D980" s="128"/>
      <c r="E980" s="128"/>
      <c r="F980" s="128"/>
      <c r="G980" s="128"/>
      <c r="H980" s="128"/>
      <c r="I980" s="12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</row>
    <row r="981" ht="10.5" customHeight="1">
      <c r="A981" s="127"/>
      <c r="B981" s="118"/>
      <c r="C981" s="128"/>
      <c r="D981" s="128"/>
      <c r="E981" s="128"/>
      <c r="F981" s="128"/>
      <c r="G981" s="128"/>
      <c r="H981" s="128"/>
      <c r="I981" s="12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</row>
    <row r="982" ht="10.5" customHeight="1">
      <c r="A982" s="127"/>
      <c r="B982" s="118"/>
      <c r="C982" s="128"/>
      <c r="D982" s="128"/>
      <c r="E982" s="128"/>
      <c r="F982" s="128"/>
      <c r="G982" s="128"/>
      <c r="H982" s="128"/>
      <c r="I982" s="12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</row>
    <row r="983" ht="10.5" customHeight="1">
      <c r="A983" s="127"/>
      <c r="B983" s="118"/>
      <c r="C983" s="128"/>
      <c r="D983" s="128"/>
      <c r="E983" s="128"/>
      <c r="F983" s="128"/>
      <c r="G983" s="128"/>
      <c r="H983" s="128"/>
      <c r="I983" s="12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</row>
    <row r="984" ht="10.5" customHeight="1">
      <c r="A984" s="127"/>
      <c r="B984" s="118"/>
      <c r="C984" s="128"/>
      <c r="D984" s="128"/>
      <c r="E984" s="128"/>
      <c r="F984" s="128"/>
      <c r="G984" s="128"/>
      <c r="H984" s="128"/>
      <c r="I984" s="12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</row>
    <row r="985" ht="10.5" customHeight="1">
      <c r="A985" s="127"/>
      <c r="B985" s="118"/>
      <c r="C985" s="128"/>
      <c r="D985" s="128"/>
      <c r="E985" s="128"/>
      <c r="F985" s="128"/>
      <c r="G985" s="128"/>
      <c r="H985" s="128"/>
      <c r="I985" s="12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</row>
    <row r="986" ht="10.5" customHeight="1">
      <c r="A986" s="127"/>
      <c r="B986" s="118"/>
      <c r="C986" s="128"/>
      <c r="D986" s="128"/>
      <c r="E986" s="128"/>
      <c r="F986" s="128"/>
      <c r="G986" s="128"/>
      <c r="H986" s="128"/>
      <c r="I986" s="12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</row>
    <row r="987" ht="10.5" customHeight="1">
      <c r="A987" s="127"/>
      <c r="B987" s="118"/>
      <c r="C987" s="128"/>
      <c r="D987" s="128"/>
      <c r="E987" s="128"/>
      <c r="F987" s="128"/>
      <c r="G987" s="128"/>
      <c r="H987" s="128"/>
      <c r="I987" s="12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</row>
    <row r="988" ht="10.5" customHeight="1">
      <c r="A988" s="127"/>
      <c r="B988" s="118"/>
      <c r="C988" s="128"/>
      <c r="D988" s="128"/>
      <c r="E988" s="128"/>
      <c r="F988" s="128"/>
      <c r="G988" s="128"/>
      <c r="H988" s="128"/>
      <c r="I988" s="12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</row>
    <row r="989" ht="10.5" customHeight="1">
      <c r="A989" s="127"/>
      <c r="B989" s="118"/>
      <c r="C989" s="128"/>
      <c r="D989" s="128"/>
      <c r="E989" s="128"/>
      <c r="F989" s="128"/>
      <c r="G989" s="128"/>
      <c r="H989" s="128"/>
      <c r="I989" s="12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</row>
    <row r="990" ht="10.5" customHeight="1">
      <c r="A990" s="127"/>
      <c r="B990" s="118"/>
      <c r="C990" s="128"/>
      <c r="D990" s="128"/>
      <c r="E990" s="128"/>
      <c r="F990" s="128"/>
      <c r="G990" s="128"/>
      <c r="H990" s="128"/>
      <c r="I990" s="12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</row>
    <row r="991" ht="10.5" customHeight="1">
      <c r="A991" s="127"/>
      <c r="B991" s="118"/>
      <c r="C991" s="128"/>
      <c r="D991" s="128"/>
      <c r="E991" s="128"/>
      <c r="F991" s="128"/>
      <c r="G991" s="128"/>
      <c r="H991" s="128"/>
      <c r="I991" s="12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</row>
    <row r="992" ht="10.5" customHeight="1">
      <c r="A992" s="127"/>
      <c r="B992" s="118"/>
      <c r="C992" s="128"/>
      <c r="D992" s="128"/>
      <c r="E992" s="128"/>
      <c r="F992" s="128"/>
      <c r="G992" s="128"/>
      <c r="H992" s="128"/>
      <c r="I992" s="12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</row>
    <row r="993" ht="10.5" customHeight="1">
      <c r="A993" s="127"/>
      <c r="B993" s="118"/>
      <c r="C993" s="128"/>
      <c r="D993" s="128"/>
      <c r="E993" s="128"/>
      <c r="F993" s="128"/>
      <c r="G993" s="128"/>
      <c r="H993" s="128"/>
      <c r="I993" s="12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</row>
    <row r="994" ht="10.5" customHeight="1">
      <c r="A994" s="127"/>
      <c r="B994" s="118"/>
      <c r="C994" s="128"/>
      <c r="D994" s="128"/>
      <c r="E994" s="128"/>
      <c r="F994" s="128"/>
      <c r="G994" s="128"/>
      <c r="H994" s="128"/>
      <c r="I994" s="12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</row>
    <row r="995" ht="10.5" customHeight="1">
      <c r="A995" s="127"/>
      <c r="B995" s="118"/>
      <c r="C995" s="128"/>
      <c r="D995" s="128"/>
      <c r="E995" s="128"/>
      <c r="F995" s="128"/>
      <c r="G995" s="128"/>
      <c r="H995" s="128"/>
      <c r="I995" s="12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</row>
    <row r="996" ht="10.5" customHeight="1">
      <c r="A996" s="127"/>
      <c r="B996" s="118"/>
      <c r="C996" s="128"/>
      <c r="D996" s="128"/>
      <c r="E996" s="128"/>
      <c r="F996" s="128"/>
      <c r="G996" s="128"/>
      <c r="H996" s="128"/>
      <c r="I996" s="12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</row>
    <row r="997" ht="10.5" customHeight="1">
      <c r="A997" s="127"/>
      <c r="B997" s="118"/>
      <c r="C997" s="128"/>
      <c r="D997" s="128"/>
      <c r="E997" s="128"/>
      <c r="F997" s="128"/>
      <c r="G997" s="128"/>
      <c r="H997" s="128"/>
      <c r="I997" s="12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</row>
    <row r="998" ht="10.5" customHeight="1">
      <c r="A998" s="127"/>
      <c r="B998" s="118"/>
      <c r="C998" s="128"/>
      <c r="D998" s="128"/>
      <c r="E998" s="128"/>
      <c r="F998" s="128"/>
      <c r="G998" s="128"/>
      <c r="H998" s="128"/>
      <c r="I998" s="12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</row>
    <row r="999" ht="10.5" customHeight="1">
      <c r="A999" s="127"/>
      <c r="B999" s="118"/>
      <c r="C999" s="128"/>
      <c r="D999" s="128"/>
      <c r="E999" s="128"/>
      <c r="F999" s="128"/>
      <c r="G999" s="128"/>
      <c r="H999" s="128"/>
      <c r="I999" s="12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</row>
    <row r="1000" ht="10.5" customHeight="1">
      <c r="A1000" s="127"/>
      <c r="B1000" s="118"/>
      <c r="C1000" s="128"/>
      <c r="D1000" s="128"/>
      <c r="E1000" s="128"/>
      <c r="F1000" s="128"/>
      <c r="G1000" s="128"/>
      <c r="H1000" s="128"/>
      <c r="I1000" s="12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</row>
  </sheetData>
  <mergeCells count="98">
    <mergeCell ref="H3:H5"/>
    <mergeCell ref="I3:I5"/>
    <mergeCell ref="J3:J5"/>
    <mergeCell ref="K3:K5"/>
    <mergeCell ref="C121:L122"/>
    <mergeCell ref="L3:L5"/>
    <mergeCell ref="M3:M5"/>
    <mergeCell ref="N3:N5"/>
    <mergeCell ref="O3:O5"/>
    <mergeCell ref="P3:P5"/>
    <mergeCell ref="Q3:Q5"/>
    <mergeCell ref="R3:R5"/>
    <mergeCell ref="S3:S5"/>
    <mergeCell ref="A21:A23"/>
    <mergeCell ref="A24:A26"/>
    <mergeCell ref="A27:A29"/>
    <mergeCell ref="A30:A32"/>
    <mergeCell ref="A33:A35"/>
    <mergeCell ref="F3:F5"/>
    <mergeCell ref="G3:G5"/>
    <mergeCell ref="A6:A8"/>
    <mergeCell ref="A9:A11"/>
    <mergeCell ref="A12:A14"/>
    <mergeCell ref="A15:A17"/>
    <mergeCell ref="A18:A20"/>
    <mergeCell ref="AH3:AH5"/>
    <mergeCell ref="AI3:AI5"/>
    <mergeCell ref="AJ3:AJ5"/>
    <mergeCell ref="AK3:AK5"/>
    <mergeCell ref="AL3:AL5"/>
    <mergeCell ref="AM3:AM5"/>
    <mergeCell ref="A1:B2"/>
    <mergeCell ref="C1:AO2"/>
    <mergeCell ref="A3:A5"/>
    <mergeCell ref="B3:B5"/>
    <mergeCell ref="C3:C5"/>
    <mergeCell ref="D3:D5"/>
    <mergeCell ref="E3:E5"/>
    <mergeCell ref="AN3:AN5"/>
    <mergeCell ref="AO3:AO5"/>
    <mergeCell ref="AQ3:AQ5"/>
    <mergeCell ref="AR3:AR5"/>
    <mergeCell ref="AS3:AS5"/>
    <mergeCell ref="AT3:AT5"/>
    <mergeCell ref="AU3:AU5"/>
    <mergeCell ref="BC3:BC5"/>
    <mergeCell ref="BD3:BD5"/>
    <mergeCell ref="AV3:AV5"/>
    <mergeCell ref="AW3:AW5"/>
    <mergeCell ref="AX3:AX5"/>
    <mergeCell ref="AY3:AY5"/>
    <mergeCell ref="AZ3:AZ5"/>
    <mergeCell ref="BA3:BA5"/>
    <mergeCell ref="BB3:BB5"/>
    <mergeCell ref="AM9:AM11"/>
    <mergeCell ref="AM12:AM14"/>
    <mergeCell ref="AN12:AN14"/>
    <mergeCell ref="AO12:AO14"/>
    <mergeCell ref="AM15:AM17"/>
    <mergeCell ref="AN15:AN17"/>
    <mergeCell ref="AO15:AO17"/>
    <mergeCell ref="AN24:AN26"/>
    <mergeCell ref="AO24:AO26"/>
    <mergeCell ref="AM18:AM20"/>
    <mergeCell ref="AN18:AN20"/>
    <mergeCell ref="AO18:AO20"/>
    <mergeCell ref="AM21:AM23"/>
    <mergeCell ref="AN21:AN23"/>
    <mergeCell ref="AO21:AO23"/>
    <mergeCell ref="AM24:AM26"/>
    <mergeCell ref="AN33:AN35"/>
    <mergeCell ref="AO33:AO35"/>
    <mergeCell ref="AM27:AM29"/>
    <mergeCell ref="AN27:AN29"/>
    <mergeCell ref="AO27:AO29"/>
    <mergeCell ref="AM30:AM32"/>
    <mergeCell ref="AN30:AN32"/>
    <mergeCell ref="AO30:AO32"/>
    <mergeCell ref="AM33:AM3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M6:AM8"/>
    <mergeCell ref="AN6:AN8"/>
    <mergeCell ref="AO6:AO8"/>
    <mergeCell ref="AN9:AN11"/>
    <mergeCell ref="AO9:AO1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57"/>
  </cols>
  <sheetData>
    <row r="1" ht="13.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43"/>
    <col customWidth="1" min="2" max="2" width="10.14"/>
    <col customWidth="1" min="3" max="38" width="3.57"/>
    <col customWidth="1" min="39" max="39" width="7.57"/>
    <col customWidth="1" min="40" max="40" width="3.57"/>
    <col customWidth="1" min="41" max="42" width="9.43"/>
    <col customWidth="1" min="43" max="56" width="3.57"/>
  </cols>
  <sheetData>
    <row r="1" ht="21.75" customHeight="1">
      <c r="A1" s="1">
        <v>2025.0</v>
      </c>
      <c r="B1" s="2"/>
      <c r="C1" s="84" t="s">
        <v>133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2"/>
      <c r="AP1" s="8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2" ht="22.5" customHeight="1">
      <c r="A2" s="10"/>
      <c r="B2" s="11"/>
      <c r="C2" s="10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1"/>
      <c r="AP2" s="8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ht="11.25" customHeight="1">
      <c r="A3" s="13" t="s">
        <v>24</v>
      </c>
      <c r="B3" s="3" t="s">
        <v>2</v>
      </c>
      <c r="C3" s="5" t="s">
        <v>3</v>
      </c>
      <c r="D3" s="6" t="s">
        <v>4</v>
      </c>
      <c r="E3" s="5" t="s">
        <v>5</v>
      </c>
      <c r="F3" s="6" t="s">
        <v>6</v>
      </c>
      <c r="G3" s="5" t="s">
        <v>7</v>
      </c>
      <c r="H3" s="6" t="s">
        <v>9</v>
      </c>
      <c r="I3" s="5" t="s">
        <v>10</v>
      </c>
      <c r="J3" s="6" t="s">
        <v>11</v>
      </c>
      <c r="K3" s="5" t="s">
        <v>12</v>
      </c>
      <c r="L3" s="6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6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14" t="s">
        <v>40</v>
      </c>
      <c r="AM3" s="28" t="s">
        <v>47</v>
      </c>
      <c r="AN3" s="29" t="s">
        <v>48</v>
      </c>
      <c r="AO3" s="30" t="s">
        <v>49</v>
      </c>
      <c r="AP3" s="31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ht="12.75" customHeight="1">
      <c r="A4" s="39"/>
      <c r="B4" s="16"/>
      <c r="C4" s="17"/>
      <c r="D4" s="18"/>
      <c r="E4" s="17"/>
      <c r="F4" s="18"/>
      <c r="G4" s="17"/>
      <c r="H4" s="18"/>
      <c r="I4" s="17"/>
      <c r="J4" s="18"/>
      <c r="K4" s="17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7"/>
      <c r="AE4" s="17"/>
      <c r="AF4" s="17"/>
      <c r="AG4" s="17"/>
      <c r="AH4" s="17"/>
      <c r="AI4" s="17"/>
      <c r="AJ4" s="17"/>
      <c r="AK4" s="17"/>
      <c r="AL4" s="19"/>
      <c r="AM4" s="39"/>
      <c r="AN4" s="16"/>
      <c r="AO4" s="44"/>
      <c r="AP4" s="31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 ht="10.5" customHeight="1">
      <c r="A5" s="47"/>
      <c r="B5" s="48"/>
      <c r="C5" s="49"/>
      <c r="D5" s="50"/>
      <c r="E5" s="49"/>
      <c r="F5" s="50"/>
      <c r="G5" s="49"/>
      <c r="H5" s="50"/>
      <c r="I5" s="49"/>
      <c r="J5" s="50"/>
      <c r="K5" s="49"/>
      <c r="L5" s="50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  <c r="AD5" s="49"/>
      <c r="AE5" s="49"/>
      <c r="AF5" s="49"/>
      <c r="AG5" s="49"/>
      <c r="AH5" s="49"/>
      <c r="AI5" s="49"/>
      <c r="AJ5" s="49"/>
      <c r="AK5" s="49"/>
      <c r="AL5" s="51"/>
      <c r="AM5" s="47"/>
      <c r="AN5" s="48"/>
      <c r="AO5" s="52"/>
      <c r="AP5" s="31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ht="10.5" customHeight="1">
      <c r="A6" s="54" t="str">
        <f>Drivers!AT4</f>
        <v>Carole</v>
      </c>
      <c r="B6" s="55" t="str">
        <f>Drivers!AU4</f>
        <v>Elliott</v>
      </c>
      <c r="C6" s="57">
        <f>Drivers!C12</f>
        <v>33</v>
      </c>
      <c r="D6" s="57">
        <f>Drivers!D12</f>
        <v>38</v>
      </c>
      <c r="E6" s="57">
        <f>Drivers!E12</f>
        <v>33</v>
      </c>
      <c r="F6" s="57">
        <f>Drivers!F12</f>
        <v>14</v>
      </c>
      <c r="G6" s="57">
        <f>Drivers!G12</f>
        <v>40</v>
      </c>
      <c r="H6" s="57">
        <f>Drivers!H12</f>
        <v>26</v>
      </c>
      <c r="I6" s="57">
        <f>Drivers!I12</f>
        <v>55</v>
      </c>
      <c r="J6" s="57">
        <f>Drivers!J12</f>
        <v>15</v>
      </c>
      <c r="K6" s="57">
        <f>Drivers!K12</f>
        <v>41</v>
      </c>
      <c r="L6" s="57">
        <f>Drivers!L12</f>
        <v>35</v>
      </c>
      <c r="M6" s="57">
        <f>Drivers!M12</f>
        <v>69</v>
      </c>
      <c r="N6" s="57">
        <f>Drivers!N12</f>
        <v>13</v>
      </c>
      <c r="O6" s="57">
        <f>Drivers!O12</f>
        <v>1</v>
      </c>
      <c r="P6" s="57">
        <f>Drivers!P12</f>
        <v>37</v>
      </c>
      <c r="Q6" s="57">
        <f>Drivers!Q12</f>
        <v>22</v>
      </c>
      <c r="R6" s="57">
        <f>Drivers!R12</f>
        <v>27</v>
      </c>
      <c r="S6" s="57">
        <f>Drivers!S12</f>
        <v>25</v>
      </c>
      <c r="T6" s="57">
        <f>Drivers!T12</f>
        <v>20</v>
      </c>
      <c r="U6" s="57">
        <f>Drivers!U12</f>
        <v>30</v>
      </c>
      <c r="V6" s="57">
        <f>Drivers!V12</f>
        <v>26</v>
      </c>
      <c r="W6" s="57">
        <f>Drivers!W12</f>
        <v>24</v>
      </c>
      <c r="X6" s="57">
        <f>Drivers!X12</f>
        <v>1</v>
      </c>
      <c r="Y6" s="57">
        <f>Drivers!Y12</f>
        <v>22</v>
      </c>
      <c r="Z6" s="57">
        <f>Drivers!Z12</f>
        <v>38</v>
      </c>
      <c r="AA6" s="57">
        <f>Drivers!AA12</f>
        <v>12</v>
      </c>
      <c r="AB6" s="57">
        <f>Drivers!AB12</f>
        <v>16</v>
      </c>
      <c r="AC6" s="57" t="str">
        <f>Drivers!AC12</f>
        <v/>
      </c>
      <c r="AD6" s="57" t="str">
        <f>Drivers!AD12</f>
        <v/>
      </c>
      <c r="AE6" s="57" t="str">
        <f>Drivers!AE12</f>
        <v/>
      </c>
      <c r="AF6" s="57" t="str">
        <f>Drivers!AF12</f>
        <v/>
      </c>
      <c r="AG6" s="57" t="str">
        <f>Drivers!AG12</f>
        <v/>
      </c>
      <c r="AH6" s="57" t="str">
        <f>Drivers!AH12</f>
        <v/>
      </c>
      <c r="AI6" s="57" t="str">
        <f>Drivers!AI12</f>
        <v/>
      </c>
      <c r="AJ6" s="57" t="str">
        <f>Drivers!AJ12</f>
        <v/>
      </c>
      <c r="AK6" s="57" t="str">
        <f>Drivers!AK12</f>
        <v/>
      </c>
      <c r="AL6" s="57" t="str">
        <f>Drivers!AL12</f>
        <v/>
      </c>
      <c r="AM6" s="61">
        <f>SUM(C8:AL8)</f>
        <v>1607</v>
      </c>
      <c r="AN6" s="62">
        <f>RANK($AM$6:$AM$35,$AM$6:$AM$35,1&gt;10)</f>
        <v>2</v>
      </c>
      <c r="AO6" s="63">
        <f>AVERAGE(C8:AL8)</f>
        <v>44.63888889</v>
      </c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ht="12.75" customHeight="1">
      <c r="A7" s="64"/>
      <c r="B7" s="55" t="str">
        <f>Drivers!AU5</f>
        <v>Reddick</v>
      </c>
      <c r="C7" s="65">
        <f>Drivers!C34</f>
        <v>58</v>
      </c>
      <c r="D7" s="65">
        <f>Drivers!D34</f>
        <v>67</v>
      </c>
      <c r="E7" s="65">
        <f>Drivers!E34</f>
        <v>61</v>
      </c>
      <c r="F7" s="65">
        <f>Drivers!F34</f>
        <v>39</v>
      </c>
      <c r="G7" s="65">
        <f>Drivers!G34</f>
        <v>30</v>
      </c>
      <c r="H7" s="65">
        <f>Drivers!H34</f>
        <v>70</v>
      </c>
      <c r="I7" s="65">
        <f>Drivers!I34</f>
        <v>28</v>
      </c>
      <c r="J7" s="65">
        <f>Drivers!J34</f>
        <v>33</v>
      </c>
      <c r="K7" s="65">
        <f>Drivers!K34</f>
        <v>71</v>
      </c>
      <c r="L7" s="65">
        <f>Drivers!L34</f>
        <v>27</v>
      </c>
      <c r="M7" s="65">
        <f>Drivers!M34</f>
        <v>42</v>
      </c>
      <c r="N7" s="65">
        <f>Drivers!N34</f>
        <v>41</v>
      </c>
      <c r="O7" s="65">
        <f>Drivers!O34</f>
        <v>53</v>
      </c>
      <c r="P7" s="65">
        <f>Drivers!P34</f>
        <v>37</v>
      </c>
      <c r="Q7" s="65">
        <f>Drivers!Q34</f>
        <v>12</v>
      </c>
      <c r="R7" s="65">
        <f>Drivers!R34</f>
        <v>35</v>
      </c>
      <c r="S7" s="65">
        <f>Drivers!S34</f>
        <v>12</v>
      </c>
      <c r="T7" s="65">
        <f>Drivers!T34</f>
        <v>2</v>
      </c>
      <c r="U7" s="65">
        <f>Drivers!U34</f>
        <v>2</v>
      </c>
      <c r="V7" s="65">
        <f>Drivers!V34</f>
        <v>47</v>
      </c>
      <c r="W7" s="65">
        <f>Drivers!W34</f>
        <v>7</v>
      </c>
      <c r="X7" s="65">
        <f>Drivers!X34</f>
        <v>28</v>
      </c>
      <c r="Y7" s="65">
        <f>Drivers!Y34</f>
        <v>1</v>
      </c>
      <c r="Z7" s="65">
        <f>Drivers!Z34</f>
        <v>28</v>
      </c>
      <c r="AA7" s="65">
        <f>Drivers!AA34</f>
        <v>29</v>
      </c>
      <c r="AB7" s="65">
        <f>Drivers!AB34</f>
        <v>34</v>
      </c>
      <c r="AC7" s="65" t="str">
        <f>Drivers!AC34</f>
        <v/>
      </c>
      <c r="AD7" s="65" t="str">
        <f>Drivers!AD34</f>
        <v/>
      </c>
      <c r="AE7" s="65" t="str">
        <f>Drivers!AE34</f>
        <v/>
      </c>
      <c r="AF7" s="65" t="str">
        <f>Drivers!AF34</f>
        <v/>
      </c>
      <c r="AG7" s="65" t="str">
        <f>Drivers!AG34</f>
        <v/>
      </c>
      <c r="AH7" s="65" t="str">
        <f>Drivers!AH34</f>
        <v/>
      </c>
      <c r="AI7" s="65" t="str">
        <f>Drivers!AI34</f>
        <v/>
      </c>
      <c r="AJ7" s="65" t="str">
        <f>Drivers!AJ34</f>
        <v/>
      </c>
      <c r="AK7" s="65" t="str">
        <f>Drivers!AK34</f>
        <v/>
      </c>
      <c r="AL7" s="65" t="str">
        <f>Drivers!AL34</f>
        <v/>
      </c>
      <c r="AM7" s="16"/>
      <c r="AN7" s="16"/>
      <c r="AO7" s="16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</row>
    <row r="8" ht="13.5" customHeight="1">
      <c r="A8" s="68"/>
      <c r="B8" s="55"/>
      <c r="C8" s="69">
        <f t="shared" ref="C8:AL8" si="1">SUM(C6+C7)</f>
        <v>91</v>
      </c>
      <c r="D8" s="69">
        <f t="shared" si="1"/>
        <v>105</v>
      </c>
      <c r="E8" s="69">
        <f t="shared" si="1"/>
        <v>94</v>
      </c>
      <c r="F8" s="69">
        <f t="shared" si="1"/>
        <v>53</v>
      </c>
      <c r="G8" s="69">
        <f t="shared" si="1"/>
        <v>70</v>
      </c>
      <c r="H8" s="69">
        <f t="shared" si="1"/>
        <v>96</v>
      </c>
      <c r="I8" s="69">
        <f t="shared" si="1"/>
        <v>83</v>
      </c>
      <c r="J8" s="69">
        <f t="shared" si="1"/>
        <v>48</v>
      </c>
      <c r="K8" s="69">
        <f t="shared" si="1"/>
        <v>112</v>
      </c>
      <c r="L8" s="71">
        <f t="shared" si="1"/>
        <v>62</v>
      </c>
      <c r="M8" s="69">
        <f t="shared" si="1"/>
        <v>111</v>
      </c>
      <c r="N8" s="69">
        <f t="shared" si="1"/>
        <v>54</v>
      </c>
      <c r="O8" s="69">
        <f t="shared" si="1"/>
        <v>54</v>
      </c>
      <c r="P8" s="69">
        <f t="shared" si="1"/>
        <v>74</v>
      </c>
      <c r="Q8" s="69">
        <f t="shared" si="1"/>
        <v>34</v>
      </c>
      <c r="R8" s="69">
        <f t="shared" si="1"/>
        <v>62</v>
      </c>
      <c r="S8" s="69">
        <f t="shared" si="1"/>
        <v>37</v>
      </c>
      <c r="T8" s="69">
        <f t="shared" si="1"/>
        <v>22</v>
      </c>
      <c r="U8" s="69">
        <f t="shared" si="1"/>
        <v>32</v>
      </c>
      <c r="V8" s="69">
        <f t="shared" si="1"/>
        <v>73</v>
      </c>
      <c r="W8" s="69">
        <f t="shared" si="1"/>
        <v>31</v>
      </c>
      <c r="X8" s="69">
        <f t="shared" si="1"/>
        <v>29</v>
      </c>
      <c r="Y8" s="69">
        <f t="shared" si="1"/>
        <v>23</v>
      </c>
      <c r="Z8" s="69">
        <f t="shared" si="1"/>
        <v>66</v>
      </c>
      <c r="AA8" s="69">
        <f t="shared" si="1"/>
        <v>41</v>
      </c>
      <c r="AB8" s="69">
        <f t="shared" si="1"/>
        <v>50</v>
      </c>
      <c r="AC8" s="71">
        <f t="shared" si="1"/>
        <v>0</v>
      </c>
      <c r="AD8" s="69">
        <f t="shared" si="1"/>
        <v>0</v>
      </c>
      <c r="AE8" s="69">
        <f t="shared" si="1"/>
        <v>0</v>
      </c>
      <c r="AF8" s="69">
        <f t="shared" si="1"/>
        <v>0</v>
      </c>
      <c r="AG8" s="69">
        <f t="shared" si="1"/>
        <v>0</v>
      </c>
      <c r="AH8" s="69">
        <f t="shared" si="1"/>
        <v>0</v>
      </c>
      <c r="AI8" s="69">
        <f t="shared" si="1"/>
        <v>0</v>
      </c>
      <c r="AJ8" s="69">
        <f t="shared" si="1"/>
        <v>0</v>
      </c>
      <c r="AK8" s="69">
        <f t="shared" si="1"/>
        <v>0</v>
      </c>
      <c r="AL8" s="74">
        <f t="shared" si="1"/>
        <v>0</v>
      </c>
      <c r="AM8" s="21"/>
      <c r="AN8" s="21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</row>
    <row r="9" ht="12.75" customHeight="1">
      <c r="A9" s="78" t="str">
        <f>Drivers!AT7</f>
        <v>Butch</v>
      </c>
      <c r="B9" s="79" t="str">
        <f>Drivers!AU7</f>
        <v>Briscoe</v>
      </c>
      <c r="C9" s="80">
        <f>Drivers!C19</f>
        <v>1</v>
      </c>
      <c r="D9" s="80">
        <f>Drivers!D19</f>
        <v>43</v>
      </c>
      <c r="E9" s="80">
        <f>Drivers!E19</f>
        <v>1</v>
      </c>
      <c r="F9" s="80">
        <f>Drivers!F19</f>
        <v>1</v>
      </c>
      <c r="G9" s="80">
        <f>Drivers!G19</f>
        <v>29</v>
      </c>
      <c r="H9" s="80">
        <f>Drivers!H19</f>
        <v>32</v>
      </c>
      <c r="I9" s="80">
        <f>Drivers!I19</f>
        <v>23</v>
      </c>
      <c r="J9" s="80">
        <f>Drivers!J19</f>
        <v>45</v>
      </c>
      <c r="K9" s="80">
        <f>Drivers!K19</f>
        <v>38</v>
      </c>
      <c r="L9" s="80">
        <f>Drivers!L19</f>
        <v>8</v>
      </c>
      <c r="M9" s="80">
        <f>Drivers!M19</f>
        <v>20</v>
      </c>
      <c r="N9" s="80">
        <f>Drivers!N19</f>
        <v>35</v>
      </c>
      <c r="O9" s="80">
        <f>Drivers!O19</f>
        <v>27</v>
      </c>
      <c r="P9" s="80">
        <f>Drivers!P19</f>
        <v>39</v>
      </c>
      <c r="Q9" s="80">
        <f>Drivers!Q19</f>
        <v>27</v>
      </c>
      <c r="R9" s="80">
        <f>Drivers!R19</f>
        <v>41</v>
      </c>
      <c r="S9" s="80">
        <f>Drivers!S19</f>
        <v>20</v>
      </c>
      <c r="T9" s="80">
        <f>Drivers!T19</f>
        <v>37</v>
      </c>
      <c r="U9" s="80">
        <f>Drivers!U19</f>
        <v>70</v>
      </c>
      <c r="V9" s="80">
        <f>Drivers!V19</f>
        <v>4</v>
      </c>
      <c r="W9" s="80">
        <f>Drivers!W19</f>
        <v>45</v>
      </c>
      <c r="X9" s="80">
        <f>Drivers!X19</f>
        <v>36</v>
      </c>
      <c r="Y9" s="80">
        <f>Drivers!Y19</f>
        <v>40</v>
      </c>
      <c r="Z9" s="80">
        <f>Drivers!Z19</f>
        <v>52</v>
      </c>
      <c r="AA9" s="80">
        <f>Drivers!AA19</f>
        <v>12</v>
      </c>
      <c r="AB9" s="80">
        <f>Drivers!AB19</f>
        <v>34</v>
      </c>
      <c r="AC9" s="80" t="str">
        <f>Drivers!AC19</f>
        <v/>
      </c>
      <c r="AD9" s="80" t="str">
        <f>Drivers!AD19</f>
        <v/>
      </c>
      <c r="AE9" s="80" t="str">
        <f>Drivers!AE19</f>
        <v/>
      </c>
      <c r="AF9" s="80" t="str">
        <f>Drivers!AF19</f>
        <v/>
      </c>
      <c r="AG9" s="80" t="str">
        <f>Drivers!AG19</f>
        <v/>
      </c>
      <c r="AH9" s="80" t="str">
        <f>Drivers!AH19</f>
        <v/>
      </c>
      <c r="AI9" s="80" t="str">
        <f>Drivers!AI19</f>
        <v/>
      </c>
      <c r="AJ9" s="80" t="str">
        <f>Drivers!AJ19</f>
        <v/>
      </c>
      <c r="AK9" s="80" t="str">
        <f>Drivers!AK19</f>
        <v/>
      </c>
      <c r="AL9" s="80" t="str">
        <f>Drivers!AL19</f>
        <v/>
      </c>
      <c r="AM9" s="81">
        <f>SUM(C11:AL11)</f>
        <v>1359</v>
      </c>
      <c r="AN9" s="82">
        <f>RANK($AM$6:$AM$35,$AM$6:$AM$35,1&gt;10)</f>
        <v>6</v>
      </c>
      <c r="AO9" s="63">
        <f>AVERAGE(C11:AL11)</f>
        <v>37.75</v>
      </c>
      <c r="AP9" s="9"/>
      <c r="AQ9" s="76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  <row r="10" ht="12.75" customHeight="1">
      <c r="A10" s="64"/>
      <c r="B10" s="55" t="str">
        <f>Drivers!AU8</f>
        <v>Van Gisbergen</v>
      </c>
      <c r="C10" s="65">
        <f>Drivers!C46</f>
        <v>7</v>
      </c>
      <c r="D10" s="65">
        <f>Drivers!D46</f>
        <v>32</v>
      </c>
      <c r="E10" s="65">
        <f>Drivers!E46</f>
        <v>45</v>
      </c>
      <c r="F10" s="65">
        <f>Drivers!F46</f>
        <v>26</v>
      </c>
      <c r="G10" s="65">
        <f>Drivers!G46</f>
        <v>1</v>
      </c>
      <c r="H10" s="65">
        <f>Drivers!H46</f>
        <v>23</v>
      </c>
      <c r="I10" s="65">
        <f>Drivers!I46</f>
        <v>34</v>
      </c>
      <c r="J10" s="65">
        <f>Drivers!J46</f>
        <v>3</v>
      </c>
      <c r="K10" s="65">
        <f>Drivers!K46</f>
        <v>1</v>
      </c>
      <c r="L10" s="65">
        <f>Drivers!L46</f>
        <v>17</v>
      </c>
      <c r="M10" s="65">
        <f>Drivers!M46</f>
        <v>20</v>
      </c>
      <c r="N10" s="65">
        <f>Drivers!N46</f>
        <v>68</v>
      </c>
      <c r="O10" s="65">
        <f>Drivers!O46</f>
        <v>33</v>
      </c>
      <c r="P10" s="65">
        <f>Drivers!P46</f>
        <v>32</v>
      </c>
      <c r="Q10" s="65">
        <f>Drivers!Q46</f>
        <v>7</v>
      </c>
      <c r="R10" s="65">
        <f>Drivers!R46</f>
        <v>6</v>
      </c>
      <c r="S10" s="65">
        <f>Drivers!S46</f>
        <v>1</v>
      </c>
      <c r="T10" s="65">
        <f>Drivers!T46</f>
        <v>63</v>
      </c>
      <c r="U10" s="65">
        <f>Drivers!U46</f>
        <v>12</v>
      </c>
      <c r="V10" s="65">
        <f>Drivers!V46</f>
        <v>32</v>
      </c>
      <c r="W10" s="65">
        <f>Drivers!W46</f>
        <v>47</v>
      </c>
      <c r="X10" s="65">
        <f>Drivers!X46</f>
        <v>21</v>
      </c>
      <c r="Y10" s="65">
        <f>Drivers!Y46</f>
        <v>7</v>
      </c>
      <c r="Z10" s="65">
        <f>Drivers!Z46</f>
        <v>23</v>
      </c>
      <c r="AA10" s="65">
        <f>Drivers!AA46</f>
        <v>19</v>
      </c>
      <c r="AB10" s="65">
        <f>Drivers!AB46</f>
        <v>19</v>
      </c>
      <c r="AC10" s="65" t="str">
        <f>Drivers!AC46</f>
        <v/>
      </c>
      <c r="AD10" s="65" t="str">
        <f>Drivers!AD46</f>
        <v/>
      </c>
      <c r="AE10" s="65" t="str">
        <f>Drivers!AE46</f>
        <v/>
      </c>
      <c r="AF10" s="65" t="str">
        <f>Drivers!AF46</f>
        <v/>
      </c>
      <c r="AG10" s="65" t="str">
        <f>Drivers!AG46</f>
        <v/>
      </c>
      <c r="AH10" s="65" t="str">
        <f>Drivers!AH46</f>
        <v/>
      </c>
      <c r="AI10" s="65" t="str">
        <f>Drivers!AI46</f>
        <v/>
      </c>
      <c r="AJ10" s="65" t="str">
        <f>Drivers!AJ46</f>
        <v/>
      </c>
      <c r="AK10" s="65" t="str">
        <f>Drivers!AK46</f>
        <v/>
      </c>
      <c r="AL10" s="65" t="str">
        <f>Drivers!AL46</f>
        <v/>
      </c>
      <c r="AM10" s="16"/>
      <c r="AN10" s="16"/>
      <c r="AO10" s="16"/>
      <c r="AP10" s="9"/>
      <c r="AQ10" s="76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ht="12.75" customHeight="1">
      <c r="A11" s="68"/>
      <c r="B11" s="85"/>
      <c r="C11" s="86">
        <f t="shared" ref="C11:AL11" si="2">SUM(C9+C10)</f>
        <v>8</v>
      </c>
      <c r="D11" s="86">
        <f t="shared" si="2"/>
        <v>75</v>
      </c>
      <c r="E11" s="86">
        <f t="shared" si="2"/>
        <v>46</v>
      </c>
      <c r="F11" s="86">
        <f t="shared" si="2"/>
        <v>27</v>
      </c>
      <c r="G11" s="86">
        <f t="shared" si="2"/>
        <v>30</v>
      </c>
      <c r="H11" s="86">
        <f t="shared" si="2"/>
        <v>55</v>
      </c>
      <c r="I11" s="86">
        <f t="shared" si="2"/>
        <v>57</v>
      </c>
      <c r="J11" s="86">
        <f t="shared" si="2"/>
        <v>48</v>
      </c>
      <c r="K11" s="86">
        <f t="shared" si="2"/>
        <v>39</v>
      </c>
      <c r="L11" s="87">
        <f t="shared" si="2"/>
        <v>25</v>
      </c>
      <c r="M11" s="86">
        <f t="shared" si="2"/>
        <v>40</v>
      </c>
      <c r="N11" s="86">
        <f t="shared" si="2"/>
        <v>103</v>
      </c>
      <c r="O11" s="86">
        <f t="shared" si="2"/>
        <v>60</v>
      </c>
      <c r="P11" s="86">
        <f t="shared" si="2"/>
        <v>71</v>
      </c>
      <c r="Q11" s="86">
        <f t="shared" si="2"/>
        <v>34</v>
      </c>
      <c r="R11" s="86">
        <f t="shared" si="2"/>
        <v>47</v>
      </c>
      <c r="S11" s="86">
        <f t="shared" si="2"/>
        <v>21</v>
      </c>
      <c r="T11" s="86">
        <f t="shared" si="2"/>
        <v>100</v>
      </c>
      <c r="U11" s="86">
        <f t="shared" si="2"/>
        <v>82</v>
      </c>
      <c r="V11" s="86">
        <f t="shared" si="2"/>
        <v>36</v>
      </c>
      <c r="W11" s="86">
        <f t="shared" si="2"/>
        <v>92</v>
      </c>
      <c r="X11" s="86">
        <f t="shared" si="2"/>
        <v>57</v>
      </c>
      <c r="Y11" s="86">
        <f t="shared" si="2"/>
        <v>47</v>
      </c>
      <c r="Z11" s="86">
        <f t="shared" si="2"/>
        <v>75</v>
      </c>
      <c r="AA11" s="86">
        <f t="shared" si="2"/>
        <v>31</v>
      </c>
      <c r="AB11" s="86">
        <f t="shared" si="2"/>
        <v>53</v>
      </c>
      <c r="AC11" s="87">
        <f t="shared" si="2"/>
        <v>0</v>
      </c>
      <c r="AD11" s="86">
        <f t="shared" si="2"/>
        <v>0</v>
      </c>
      <c r="AE11" s="86">
        <f t="shared" si="2"/>
        <v>0</v>
      </c>
      <c r="AF11" s="86">
        <f t="shared" si="2"/>
        <v>0</v>
      </c>
      <c r="AG11" s="86">
        <f t="shared" si="2"/>
        <v>0</v>
      </c>
      <c r="AH11" s="86">
        <f t="shared" si="2"/>
        <v>0</v>
      </c>
      <c r="AI11" s="86">
        <f t="shared" si="2"/>
        <v>0</v>
      </c>
      <c r="AJ11" s="86">
        <f t="shared" si="2"/>
        <v>0</v>
      </c>
      <c r="AK11" s="86">
        <f t="shared" si="2"/>
        <v>0</v>
      </c>
      <c r="AL11" s="88">
        <f t="shared" si="2"/>
        <v>0</v>
      </c>
      <c r="AM11" s="75"/>
      <c r="AN11" s="75"/>
      <c r="AO11" s="75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</row>
    <row r="12" ht="12.75" customHeight="1">
      <c r="A12" s="78" t="str">
        <f>Drivers!AT10</f>
        <v>Jason</v>
      </c>
      <c r="B12" s="79" t="str">
        <f>Drivers!AU10</f>
        <v>Larson</v>
      </c>
      <c r="C12" s="80">
        <f>Drivers!C8</f>
        <v>21</v>
      </c>
      <c r="D12" s="80">
        <f>Drivers!D8</f>
        <v>13</v>
      </c>
      <c r="E12" s="80">
        <f>Drivers!E8</f>
        <v>31</v>
      </c>
      <c r="F12" s="80">
        <f>Drivers!F8</f>
        <v>36</v>
      </c>
      <c r="G12" s="80">
        <f>Drivers!G8</f>
        <v>48</v>
      </c>
      <c r="H12" s="80">
        <f>Drivers!H8</f>
        <v>19</v>
      </c>
      <c r="I12" s="80">
        <f>Drivers!I8</f>
        <v>30</v>
      </c>
      <c r="J12" s="80">
        <f>Drivers!J8</f>
        <v>54</v>
      </c>
      <c r="K12" s="80">
        <f>Drivers!K8</f>
        <v>54</v>
      </c>
      <c r="L12" s="80">
        <f>Drivers!L8</f>
        <v>1</v>
      </c>
      <c r="M12" s="80">
        <f>Drivers!M8</f>
        <v>3</v>
      </c>
      <c r="N12" s="80">
        <f>Drivers!N8</f>
        <v>14</v>
      </c>
      <c r="O12" s="80">
        <f>Drivers!O8</f>
        <v>54</v>
      </c>
      <c r="P12" s="80">
        <f>Drivers!P8</f>
        <v>23</v>
      </c>
      <c r="Q12" s="80">
        <f>Drivers!Q8</f>
        <v>44</v>
      </c>
      <c r="R12" s="80">
        <f>Drivers!R8</f>
        <v>24</v>
      </c>
      <c r="S12" s="80">
        <f>Drivers!S8</f>
        <v>42</v>
      </c>
      <c r="T12" s="80">
        <f>Drivers!T8</f>
        <v>35</v>
      </c>
      <c r="U12" s="80">
        <f>Drivers!U8</f>
        <v>12</v>
      </c>
      <c r="V12" s="80">
        <f>Drivers!V8</f>
        <v>11</v>
      </c>
      <c r="W12" s="80">
        <f>Drivers!W8</f>
        <v>22</v>
      </c>
      <c r="X12" s="80">
        <f>Drivers!X8</f>
        <v>1</v>
      </c>
      <c r="Y12" s="80">
        <f>Drivers!Y8</f>
        <v>12</v>
      </c>
      <c r="Z12" s="80">
        <f>Drivers!Z8</f>
        <v>31</v>
      </c>
      <c r="AA12" s="80">
        <f>Drivers!AA8</f>
        <v>48</v>
      </c>
      <c r="AB12" s="80">
        <f>Drivers!AB8</f>
        <v>16</v>
      </c>
      <c r="AC12" s="80" t="str">
        <f>Drivers!AC8</f>
        <v/>
      </c>
      <c r="AD12" s="80" t="str">
        <f>Drivers!AD8</f>
        <v/>
      </c>
      <c r="AE12" s="80" t="str">
        <f>Drivers!AE8</f>
        <v/>
      </c>
      <c r="AF12" s="80" t="str">
        <f>Drivers!AF8</f>
        <v/>
      </c>
      <c r="AG12" s="80" t="str">
        <f>Drivers!AG8</f>
        <v/>
      </c>
      <c r="AH12" s="80" t="str">
        <f>Drivers!AH8</f>
        <v/>
      </c>
      <c r="AI12" s="80" t="str">
        <f>Drivers!AI8</f>
        <v/>
      </c>
      <c r="AJ12" s="80" t="str">
        <f>Drivers!AJ8</f>
        <v/>
      </c>
      <c r="AK12" s="80" t="str">
        <f>Drivers!AK8</f>
        <v/>
      </c>
      <c r="AL12" s="80" t="str">
        <f>Drivers!AL8</f>
        <v/>
      </c>
      <c r="AM12" s="61">
        <f>SUM(C14:AL14)</f>
        <v>1375</v>
      </c>
      <c r="AN12" s="89">
        <f>RANK($AM$6:$AM$35,$AM$6:$AM$35,1&gt;10)</f>
        <v>5</v>
      </c>
      <c r="AO12" s="63">
        <f>AVERAGE(C14:AL14)</f>
        <v>38.19444444</v>
      </c>
      <c r="AP12" s="9"/>
      <c r="AQ12" s="76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</row>
    <row r="13" ht="12.75" customHeight="1">
      <c r="A13" s="64"/>
      <c r="B13" s="55" t="str">
        <f>Drivers!AU11</f>
        <v>Buscher</v>
      </c>
      <c r="C13" s="65">
        <f>Drivers!C18</f>
        <v>39</v>
      </c>
      <c r="D13" s="65">
        <f>Drivers!D18</f>
        <v>22</v>
      </c>
      <c r="E13" s="65">
        <f>Drivers!E18</f>
        <v>19</v>
      </c>
      <c r="F13" s="65">
        <f>Drivers!F18</f>
        <v>30</v>
      </c>
      <c r="G13" s="65">
        <f>Drivers!G18</f>
        <v>35</v>
      </c>
      <c r="H13" s="65">
        <f>Drivers!H18</f>
        <v>42</v>
      </c>
      <c r="I13" s="65">
        <f>Drivers!I18</f>
        <v>18</v>
      </c>
      <c r="J13" s="65">
        <f>Drivers!J18</f>
        <v>24</v>
      </c>
      <c r="K13" s="65">
        <f>Drivers!K18</f>
        <v>29</v>
      </c>
      <c r="L13" s="65">
        <f>Drivers!L18</f>
        <v>50</v>
      </c>
      <c r="M13" s="65">
        <f>Drivers!M18</f>
        <v>36</v>
      </c>
      <c r="N13" s="65">
        <f>Drivers!N18</f>
        <v>30</v>
      </c>
      <c r="O13" s="65">
        <f>Drivers!O18</f>
        <v>10</v>
      </c>
      <c r="P13" s="65">
        <f>Drivers!P18</f>
        <v>8</v>
      </c>
      <c r="Q13" s="65">
        <f>Drivers!Q18</f>
        <v>31</v>
      </c>
      <c r="R13" s="65">
        <f>Drivers!R18</f>
        <v>37</v>
      </c>
      <c r="S13" s="65">
        <f>Drivers!S18</f>
        <v>39</v>
      </c>
      <c r="T13" s="65">
        <f>Drivers!T18</f>
        <v>18</v>
      </c>
      <c r="U13" s="65">
        <f>Drivers!U18</f>
        <v>23</v>
      </c>
      <c r="V13" s="65">
        <f>Drivers!V18</f>
        <v>27</v>
      </c>
      <c r="W13" s="65">
        <f>Drivers!W18</f>
        <v>17</v>
      </c>
      <c r="X13" s="65">
        <f>Drivers!X18</f>
        <v>28</v>
      </c>
      <c r="Y13" s="65">
        <f>Drivers!Y18</f>
        <v>24</v>
      </c>
      <c r="Z13" s="65">
        <f>Drivers!Z18</f>
        <v>16</v>
      </c>
      <c r="AA13" s="65">
        <f>Drivers!AA18</f>
        <v>23</v>
      </c>
      <c r="AB13" s="65">
        <f>Drivers!AB18</f>
        <v>1</v>
      </c>
      <c r="AC13" s="65" t="str">
        <f>Drivers!AC18</f>
        <v/>
      </c>
      <c r="AD13" s="65" t="str">
        <f>Drivers!AD18</f>
        <v/>
      </c>
      <c r="AE13" s="65" t="str">
        <f>Drivers!AE18</f>
        <v/>
      </c>
      <c r="AF13" s="65" t="str">
        <f>Drivers!AF18</f>
        <v/>
      </c>
      <c r="AG13" s="65" t="str">
        <f>Drivers!AG18</f>
        <v/>
      </c>
      <c r="AH13" s="65" t="str">
        <f>Drivers!AH18</f>
        <v/>
      </c>
      <c r="AI13" s="65" t="str">
        <f>Drivers!AI18</f>
        <v/>
      </c>
      <c r="AJ13" s="65" t="str">
        <f>Drivers!AJ18</f>
        <v/>
      </c>
      <c r="AK13" s="65" t="str">
        <f>Drivers!AK18</f>
        <v/>
      </c>
      <c r="AL13" s="65" t="str">
        <f>Drivers!AL18</f>
        <v/>
      </c>
      <c r="AM13" s="16"/>
      <c r="AN13" s="16"/>
      <c r="AO13" s="16"/>
      <c r="AP13" s="9"/>
      <c r="AQ13" s="76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</row>
    <row r="14" ht="13.5" customHeight="1">
      <c r="A14" s="68"/>
      <c r="B14" s="90"/>
      <c r="C14" s="86">
        <f t="shared" ref="C14:AL14" si="3">SUM(C12+C13)</f>
        <v>60</v>
      </c>
      <c r="D14" s="86">
        <f t="shared" si="3"/>
        <v>35</v>
      </c>
      <c r="E14" s="86">
        <f t="shared" si="3"/>
        <v>50</v>
      </c>
      <c r="F14" s="86">
        <f t="shared" si="3"/>
        <v>66</v>
      </c>
      <c r="G14" s="86">
        <f t="shared" si="3"/>
        <v>83</v>
      </c>
      <c r="H14" s="86">
        <f t="shared" si="3"/>
        <v>61</v>
      </c>
      <c r="I14" s="86">
        <f t="shared" si="3"/>
        <v>48</v>
      </c>
      <c r="J14" s="86">
        <f t="shared" si="3"/>
        <v>78</v>
      </c>
      <c r="K14" s="86">
        <f t="shared" si="3"/>
        <v>83</v>
      </c>
      <c r="L14" s="87">
        <f t="shared" si="3"/>
        <v>51</v>
      </c>
      <c r="M14" s="86">
        <f t="shared" si="3"/>
        <v>39</v>
      </c>
      <c r="N14" s="86">
        <f t="shared" si="3"/>
        <v>44</v>
      </c>
      <c r="O14" s="86">
        <f t="shared" si="3"/>
        <v>64</v>
      </c>
      <c r="P14" s="86">
        <f t="shared" si="3"/>
        <v>31</v>
      </c>
      <c r="Q14" s="86">
        <f t="shared" si="3"/>
        <v>75</v>
      </c>
      <c r="R14" s="86">
        <f t="shared" si="3"/>
        <v>61</v>
      </c>
      <c r="S14" s="86">
        <f t="shared" si="3"/>
        <v>81</v>
      </c>
      <c r="T14" s="86">
        <f t="shared" si="3"/>
        <v>53</v>
      </c>
      <c r="U14" s="86">
        <f t="shared" si="3"/>
        <v>35</v>
      </c>
      <c r="V14" s="86">
        <f t="shared" si="3"/>
        <v>38</v>
      </c>
      <c r="W14" s="86">
        <f t="shared" si="3"/>
        <v>39</v>
      </c>
      <c r="X14" s="86">
        <f t="shared" si="3"/>
        <v>29</v>
      </c>
      <c r="Y14" s="86">
        <f t="shared" si="3"/>
        <v>36</v>
      </c>
      <c r="Z14" s="86">
        <f t="shared" si="3"/>
        <v>47</v>
      </c>
      <c r="AA14" s="86">
        <f t="shared" si="3"/>
        <v>71</v>
      </c>
      <c r="AB14" s="86">
        <f t="shared" si="3"/>
        <v>17</v>
      </c>
      <c r="AC14" s="87">
        <f t="shared" si="3"/>
        <v>0</v>
      </c>
      <c r="AD14" s="86">
        <f t="shared" si="3"/>
        <v>0</v>
      </c>
      <c r="AE14" s="86">
        <f t="shared" si="3"/>
        <v>0</v>
      </c>
      <c r="AF14" s="86">
        <f t="shared" si="3"/>
        <v>0</v>
      </c>
      <c r="AG14" s="86">
        <f t="shared" si="3"/>
        <v>0</v>
      </c>
      <c r="AH14" s="86">
        <f t="shared" si="3"/>
        <v>0</v>
      </c>
      <c r="AI14" s="86">
        <f t="shared" si="3"/>
        <v>0</v>
      </c>
      <c r="AJ14" s="86">
        <f t="shared" si="3"/>
        <v>0</v>
      </c>
      <c r="AK14" s="86">
        <f t="shared" si="3"/>
        <v>0</v>
      </c>
      <c r="AL14" s="88">
        <f t="shared" si="3"/>
        <v>0</v>
      </c>
      <c r="AM14" s="21"/>
      <c r="AN14" s="21"/>
      <c r="AO14" s="75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</row>
    <row r="15" ht="12.75" customHeight="1">
      <c r="A15" s="78" t="str">
        <f>Drivers!AT13</f>
        <v>Shenk</v>
      </c>
      <c r="B15" s="79" t="str">
        <f>Drivers!AU13</f>
        <v>Hamlin</v>
      </c>
      <c r="C15" s="80">
        <f>Drivers!C14</f>
        <v>6</v>
      </c>
      <c r="D15" s="80">
        <f>Drivers!D14</f>
        <v>24</v>
      </c>
      <c r="E15" s="80">
        <f>Drivers!E14</f>
        <v>28</v>
      </c>
      <c r="F15" s="80">
        <f>Drivers!F14</f>
        <v>47</v>
      </c>
      <c r="G15" s="80">
        <f>Drivers!G14</f>
        <v>70</v>
      </c>
      <c r="H15" s="80">
        <f>Drivers!H14</f>
        <v>26</v>
      </c>
      <c r="I15" s="80">
        <f>Drivers!I14</f>
        <v>56</v>
      </c>
      <c r="J15" s="80">
        <f>Drivers!J14</f>
        <v>41</v>
      </c>
      <c r="K15" s="80">
        <f>Drivers!K14</f>
        <v>52</v>
      </c>
      <c r="L15" s="80">
        <f>Drivers!L14</f>
        <v>22</v>
      </c>
      <c r="M15" s="80">
        <f>Drivers!M14</f>
        <v>43</v>
      </c>
      <c r="N15" s="80">
        <f>Drivers!N14</f>
        <v>21</v>
      </c>
      <c r="O15" s="80">
        <f>Drivers!O14</f>
        <v>60</v>
      </c>
      <c r="P15" s="80">
        <f>Drivers!P14</f>
        <v>62</v>
      </c>
      <c r="Q15" s="80">
        <f>Drivers!Q14</f>
        <v>58</v>
      </c>
      <c r="R15" s="80">
        <f>Drivers!R14</f>
        <v>67</v>
      </c>
      <c r="S15" s="80">
        <f>Drivers!S14</f>
        <v>23</v>
      </c>
      <c r="T15" s="80">
        <f>Drivers!T14</f>
        <v>11</v>
      </c>
      <c r="U15" s="80">
        <f>Drivers!U14</f>
        <v>45</v>
      </c>
      <c r="V15" s="80">
        <f>Drivers!V14</f>
        <v>27</v>
      </c>
      <c r="W15" s="80">
        <f>Drivers!W14</f>
        <v>51</v>
      </c>
      <c r="X15" s="80">
        <f>Drivers!X14</f>
        <v>44</v>
      </c>
      <c r="Y15" s="80">
        <f>Drivers!Y14</f>
        <v>37</v>
      </c>
      <c r="Z15" s="80">
        <f>Drivers!Z14</f>
        <v>46</v>
      </c>
      <c r="AA15" s="80">
        <f>Drivers!AA14</f>
        <v>32</v>
      </c>
      <c r="AB15" s="80">
        <f>Drivers!AB14</f>
        <v>26</v>
      </c>
      <c r="AC15" s="80" t="str">
        <f>Drivers!AC14</f>
        <v/>
      </c>
      <c r="AD15" s="80" t="str">
        <f>Drivers!AD14</f>
        <v/>
      </c>
      <c r="AE15" s="80" t="str">
        <f>Drivers!AE14</f>
        <v/>
      </c>
      <c r="AF15" s="80" t="str">
        <f>Drivers!AF14</f>
        <v/>
      </c>
      <c r="AG15" s="80" t="str">
        <f>Drivers!AG14</f>
        <v/>
      </c>
      <c r="AH15" s="80" t="str">
        <f>Drivers!AH14</f>
        <v/>
      </c>
      <c r="AI15" s="80" t="str">
        <f>Drivers!AI14</f>
        <v/>
      </c>
      <c r="AJ15" s="80" t="str">
        <f>Drivers!AJ14</f>
        <v/>
      </c>
      <c r="AK15" s="80" t="str">
        <f>Drivers!AK14</f>
        <v/>
      </c>
      <c r="AL15" s="80" t="str">
        <f>Drivers!AL14</f>
        <v/>
      </c>
      <c r="AM15" s="81">
        <f>SUM(C17:AL17)</f>
        <v>1724</v>
      </c>
      <c r="AN15" s="82">
        <f>RANK($AM$6:$AM$35,$AM$6:$AM$35,1&gt;10)</f>
        <v>1</v>
      </c>
      <c r="AO15" s="63">
        <f>AVERAGE(C17:AL17)</f>
        <v>47.88888889</v>
      </c>
      <c r="AP15" s="9"/>
      <c r="AQ15" s="76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</row>
    <row r="16" ht="12.75" customHeight="1">
      <c r="A16" s="64"/>
      <c r="B16" s="55" t="str">
        <f>Drivers!AU14</f>
        <v>Logano</v>
      </c>
      <c r="C16" s="65">
        <f>Drivers!C22</f>
        <v>36</v>
      </c>
      <c r="D16" s="65">
        <f>Drivers!D22</f>
        <v>22</v>
      </c>
      <c r="E16" s="65">
        <f>Drivers!E22</f>
        <v>22</v>
      </c>
      <c r="F16" s="65">
        <f>Drivers!F22</f>
        <v>23</v>
      </c>
      <c r="G16" s="65">
        <f>Drivers!G22</f>
        <v>22</v>
      </c>
      <c r="H16" s="65">
        <f>Drivers!H22</f>
        <v>4</v>
      </c>
      <c r="I16" s="65">
        <f>Drivers!I22</f>
        <v>46</v>
      </c>
      <c r="J16" s="65">
        <f>Drivers!J22</f>
        <v>33</v>
      </c>
      <c r="K16" s="65">
        <f>Drivers!K22</f>
        <v>7</v>
      </c>
      <c r="L16" s="65">
        <f>Drivers!L22</f>
        <v>9</v>
      </c>
      <c r="M16" s="65">
        <f>Drivers!M22</f>
        <v>1</v>
      </c>
      <c r="N16" s="65">
        <f>Drivers!N22</f>
        <v>10</v>
      </c>
      <c r="O16" s="65">
        <f>Drivers!O22</f>
        <v>29</v>
      </c>
      <c r="P16" s="65">
        <f>Drivers!P22</f>
        <v>23</v>
      </c>
      <c r="Q16" s="65">
        <f>Drivers!Q22</f>
        <v>32</v>
      </c>
      <c r="R16" s="65">
        <f>Drivers!R22</f>
        <v>5</v>
      </c>
      <c r="S16" s="65">
        <f>Drivers!S22</f>
        <v>23</v>
      </c>
      <c r="T16" s="65">
        <f>Drivers!T22</f>
        <v>13</v>
      </c>
      <c r="U16" s="65">
        <f>Drivers!U22</f>
        <v>25</v>
      </c>
      <c r="V16" s="65">
        <f>Drivers!V22</f>
        <v>43</v>
      </c>
      <c r="W16" s="65">
        <f>Drivers!W22</f>
        <v>73</v>
      </c>
      <c r="X16" s="65">
        <f>Drivers!X22</f>
        <v>34</v>
      </c>
      <c r="Y16" s="65">
        <f>Drivers!Y22</f>
        <v>41</v>
      </c>
      <c r="Z16" s="65">
        <f>Drivers!Z22</f>
        <v>73</v>
      </c>
      <c r="AA16" s="65">
        <f>Drivers!AA22</f>
        <v>23</v>
      </c>
      <c r="AB16" s="65">
        <f>Drivers!AB22</f>
        <v>27</v>
      </c>
      <c r="AC16" s="65" t="str">
        <f>Drivers!AC22</f>
        <v/>
      </c>
      <c r="AD16" s="65" t="str">
        <f>Drivers!AD22</f>
        <v/>
      </c>
      <c r="AE16" s="65" t="str">
        <f>Drivers!AE22</f>
        <v/>
      </c>
      <c r="AF16" s="65" t="str">
        <f>Drivers!AF22</f>
        <v/>
      </c>
      <c r="AG16" s="65" t="str">
        <f>Drivers!AG22</f>
        <v/>
      </c>
      <c r="AH16" s="65" t="str">
        <f>Drivers!AH22</f>
        <v/>
      </c>
      <c r="AI16" s="65" t="str">
        <f>Drivers!AI22</f>
        <v/>
      </c>
      <c r="AJ16" s="65" t="str">
        <f>Drivers!AJ22</f>
        <v/>
      </c>
      <c r="AK16" s="65" t="str">
        <f>Drivers!AK22</f>
        <v/>
      </c>
      <c r="AL16" s="65" t="str">
        <f>Drivers!AL22</f>
        <v/>
      </c>
      <c r="AM16" s="16"/>
      <c r="AN16" s="16"/>
      <c r="AO16" s="16"/>
      <c r="AP16" s="9"/>
      <c r="AQ16" s="76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</row>
    <row r="17" ht="13.5" customHeight="1">
      <c r="A17" s="68"/>
      <c r="B17" s="90"/>
      <c r="C17" s="86">
        <f t="shared" ref="C17:AL17" si="4">SUM(C15+C16)</f>
        <v>42</v>
      </c>
      <c r="D17" s="86">
        <f t="shared" si="4"/>
        <v>46</v>
      </c>
      <c r="E17" s="86">
        <f t="shared" si="4"/>
        <v>50</v>
      </c>
      <c r="F17" s="86">
        <f t="shared" si="4"/>
        <v>70</v>
      </c>
      <c r="G17" s="86">
        <f t="shared" si="4"/>
        <v>92</v>
      </c>
      <c r="H17" s="86">
        <f t="shared" si="4"/>
        <v>30</v>
      </c>
      <c r="I17" s="86">
        <f t="shared" si="4"/>
        <v>102</v>
      </c>
      <c r="J17" s="86">
        <f t="shared" si="4"/>
        <v>74</v>
      </c>
      <c r="K17" s="86">
        <f t="shared" si="4"/>
        <v>59</v>
      </c>
      <c r="L17" s="87">
        <f t="shared" si="4"/>
        <v>31</v>
      </c>
      <c r="M17" s="86">
        <f t="shared" si="4"/>
        <v>44</v>
      </c>
      <c r="N17" s="86">
        <f t="shared" si="4"/>
        <v>31</v>
      </c>
      <c r="O17" s="86">
        <f t="shared" si="4"/>
        <v>89</v>
      </c>
      <c r="P17" s="86">
        <f t="shared" si="4"/>
        <v>85</v>
      </c>
      <c r="Q17" s="86">
        <f t="shared" si="4"/>
        <v>90</v>
      </c>
      <c r="R17" s="86">
        <f t="shared" si="4"/>
        <v>72</v>
      </c>
      <c r="S17" s="86">
        <f t="shared" si="4"/>
        <v>46</v>
      </c>
      <c r="T17" s="86">
        <f t="shared" si="4"/>
        <v>24</v>
      </c>
      <c r="U17" s="86">
        <f t="shared" si="4"/>
        <v>70</v>
      </c>
      <c r="V17" s="86">
        <f t="shared" si="4"/>
        <v>70</v>
      </c>
      <c r="W17" s="86">
        <f t="shared" si="4"/>
        <v>124</v>
      </c>
      <c r="X17" s="86">
        <f t="shared" si="4"/>
        <v>78</v>
      </c>
      <c r="Y17" s="86">
        <f t="shared" si="4"/>
        <v>78</v>
      </c>
      <c r="Z17" s="86">
        <f t="shared" si="4"/>
        <v>119</v>
      </c>
      <c r="AA17" s="86">
        <f t="shared" si="4"/>
        <v>55</v>
      </c>
      <c r="AB17" s="86">
        <f t="shared" si="4"/>
        <v>53</v>
      </c>
      <c r="AC17" s="87">
        <f t="shared" si="4"/>
        <v>0</v>
      </c>
      <c r="AD17" s="86">
        <f t="shared" si="4"/>
        <v>0</v>
      </c>
      <c r="AE17" s="86">
        <f t="shared" si="4"/>
        <v>0</v>
      </c>
      <c r="AF17" s="86">
        <f t="shared" si="4"/>
        <v>0</v>
      </c>
      <c r="AG17" s="86">
        <f t="shared" si="4"/>
        <v>0</v>
      </c>
      <c r="AH17" s="86">
        <f t="shared" si="4"/>
        <v>0</v>
      </c>
      <c r="AI17" s="86">
        <f t="shared" si="4"/>
        <v>0</v>
      </c>
      <c r="AJ17" s="86">
        <f t="shared" si="4"/>
        <v>0</v>
      </c>
      <c r="AK17" s="86">
        <f t="shared" si="4"/>
        <v>0</v>
      </c>
      <c r="AL17" s="88">
        <f t="shared" si="4"/>
        <v>0</v>
      </c>
      <c r="AM17" s="75"/>
      <c r="AN17" s="75"/>
      <c r="AO17" s="75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</row>
    <row r="18" ht="12.75" customHeight="1">
      <c r="A18" s="78" t="str">
        <f>Drivers!AT16</f>
        <v>Sasko</v>
      </c>
      <c r="B18" s="55" t="str">
        <f>Drivers!AU16</f>
        <v>Bell</v>
      </c>
      <c r="C18" s="80">
        <f>Drivers!C20</f>
        <v>2</v>
      </c>
      <c r="D18" s="80">
        <f>Drivers!D20</f>
        <v>16</v>
      </c>
      <c r="E18" s="80">
        <f>Drivers!E20</f>
        <v>34</v>
      </c>
      <c r="F18" s="80">
        <f>Drivers!F20</f>
        <v>54</v>
      </c>
      <c r="G18" s="80">
        <f>Drivers!G20</f>
        <v>51</v>
      </c>
      <c r="H18" s="80">
        <f>Drivers!H20</f>
        <v>18</v>
      </c>
      <c r="I18" s="80">
        <f>Drivers!I20</f>
        <v>30</v>
      </c>
      <c r="J18" s="80">
        <f>Drivers!J20</f>
        <v>19</v>
      </c>
      <c r="K18" s="80">
        <f>Drivers!K20</f>
        <v>30</v>
      </c>
      <c r="L18" s="80">
        <f>Drivers!L20</f>
        <v>29</v>
      </c>
      <c r="M18" s="80">
        <f>Drivers!M20</f>
        <v>1</v>
      </c>
      <c r="N18" s="80">
        <f>Drivers!N20</f>
        <v>20</v>
      </c>
      <c r="O18" s="80">
        <f>Drivers!O20</f>
        <v>50</v>
      </c>
      <c r="P18" s="80">
        <f>Drivers!P20</f>
        <v>38</v>
      </c>
      <c r="Q18" s="80">
        <f>Drivers!Q20</f>
        <v>11</v>
      </c>
      <c r="R18" s="80">
        <f>Drivers!R20</f>
        <v>11</v>
      </c>
      <c r="S18" s="80">
        <f>Drivers!S20</f>
        <v>1</v>
      </c>
      <c r="T18" s="80">
        <f>Drivers!T20</f>
        <v>50</v>
      </c>
      <c r="U18" s="80">
        <f>Drivers!U20</f>
        <v>40</v>
      </c>
      <c r="V18" s="80">
        <f>Drivers!V20</f>
        <v>39</v>
      </c>
      <c r="W18" s="80">
        <f>Drivers!W20</f>
        <v>23</v>
      </c>
      <c r="X18" s="80">
        <f>Drivers!X20</f>
        <v>35</v>
      </c>
      <c r="Y18" s="80">
        <f>Drivers!Y20</f>
        <v>50</v>
      </c>
      <c r="Z18" s="80">
        <f>Drivers!Z20</f>
        <v>36</v>
      </c>
      <c r="AA18" s="80">
        <f>Drivers!AA20</f>
        <v>43</v>
      </c>
      <c r="AB18" s="80">
        <f>Drivers!AB20</f>
        <v>20</v>
      </c>
      <c r="AC18" s="80" t="str">
        <f>Drivers!AC20</f>
        <v/>
      </c>
      <c r="AD18" s="80" t="str">
        <f>Drivers!AD20</f>
        <v/>
      </c>
      <c r="AE18" s="80" t="str">
        <f>Drivers!AE20</f>
        <v/>
      </c>
      <c r="AF18" s="80" t="str">
        <f>Drivers!AF20</f>
        <v/>
      </c>
      <c r="AG18" s="80" t="str">
        <f>Drivers!AG20</f>
        <v/>
      </c>
      <c r="AH18" s="80" t="str">
        <f>Drivers!AH20</f>
        <v/>
      </c>
      <c r="AI18" s="80" t="str">
        <f>Drivers!AI20</f>
        <v/>
      </c>
      <c r="AJ18" s="80" t="str">
        <f>Drivers!AJ20</f>
        <v/>
      </c>
      <c r="AK18" s="80" t="str">
        <f>Drivers!AK20</f>
        <v/>
      </c>
      <c r="AL18" s="80" t="str">
        <f>Drivers!AL20</f>
        <v/>
      </c>
      <c r="AM18" s="81">
        <f>SUM(C20:AL20)</f>
        <v>968</v>
      </c>
      <c r="AN18" s="89">
        <f>RANK($AM$6:$AM$35,$AM$6:$AM$35,1&gt;10)</f>
        <v>7</v>
      </c>
      <c r="AO18" s="63">
        <f>AVERAGE(C20:AL20)</f>
        <v>26.88888889</v>
      </c>
      <c r="AP18" s="9"/>
      <c r="AQ18" s="76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  <row r="19" ht="12.75" customHeight="1">
      <c r="A19" s="64"/>
      <c r="B19" s="55" t="str">
        <f>Drivers!AU17</f>
        <v>K. Busch</v>
      </c>
      <c r="C19" s="65">
        <f>Drivers!C11</f>
        <v>29</v>
      </c>
      <c r="D19" s="65">
        <f>Drivers!D11</f>
        <v>7</v>
      </c>
      <c r="E19" s="65">
        <f>Drivers!E11</f>
        <v>25</v>
      </c>
      <c r="F19" s="65">
        <f>Drivers!F11</f>
        <v>20</v>
      </c>
      <c r="G19" s="65">
        <f>Drivers!G11</f>
        <v>9</v>
      </c>
      <c r="H19" s="65">
        <f>Drivers!H11</f>
        <v>16</v>
      </c>
      <c r="I19" s="65">
        <f>Drivers!I11</f>
        <v>13</v>
      </c>
      <c r="J19" s="65">
        <f>Drivers!J11</f>
        <v>12</v>
      </c>
      <c r="K19" s="65">
        <f>Drivers!K11</f>
        <v>2</v>
      </c>
      <c r="L19" s="65">
        <f>Drivers!L11</f>
        <v>27</v>
      </c>
      <c r="M19" s="65">
        <f>Drivers!M11</f>
        <v>22</v>
      </c>
      <c r="N19" s="65">
        <f>Drivers!N11</f>
        <v>35</v>
      </c>
      <c r="O19" s="65">
        <f>Drivers!O11</f>
        <v>0</v>
      </c>
      <c r="P19" s="65">
        <f>Drivers!P11</f>
        <v>0</v>
      </c>
      <c r="Q19" s="65">
        <f>Drivers!Q11</f>
        <v>0</v>
      </c>
      <c r="R19" s="65">
        <f>Drivers!R11</f>
        <v>0</v>
      </c>
      <c r="S19" s="65">
        <f>Drivers!S11</f>
        <v>0</v>
      </c>
      <c r="T19" s="65">
        <f>Drivers!T11</f>
        <v>0</v>
      </c>
      <c r="U19" s="65">
        <f>Drivers!U11</f>
        <v>0</v>
      </c>
      <c r="V19" s="65">
        <f>Drivers!V11</f>
        <v>0</v>
      </c>
      <c r="W19" s="65">
        <f>Drivers!W11</f>
        <v>0</v>
      </c>
      <c r="X19" s="65">
        <f>Drivers!X11</f>
        <v>0</v>
      </c>
      <c r="Y19" s="65">
        <f>Drivers!Y11</f>
        <v>0</v>
      </c>
      <c r="Z19" s="65">
        <f>Drivers!Z11</f>
        <v>0</v>
      </c>
      <c r="AA19" s="65">
        <f>Drivers!AA11</f>
        <v>0</v>
      </c>
      <c r="AB19" s="65">
        <f>Drivers!AB11</f>
        <v>0</v>
      </c>
      <c r="AC19" s="65" t="str">
        <f>Drivers!AC11</f>
        <v/>
      </c>
      <c r="AD19" s="65" t="str">
        <f>Drivers!AD11</f>
        <v/>
      </c>
      <c r="AE19" s="65" t="str">
        <f>Drivers!AE11</f>
        <v/>
      </c>
      <c r="AF19" s="65" t="str">
        <f>Drivers!AF11</f>
        <v/>
      </c>
      <c r="AG19" s="65" t="str">
        <f>Drivers!AG11</f>
        <v/>
      </c>
      <c r="AH19" s="65" t="str">
        <f>Drivers!AH11</f>
        <v/>
      </c>
      <c r="AI19" s="65" t="str">
        <f>Drivers!AI11</f>
        <v/>
      </c>
      <c r="AJ19" s="65" t="str">
        <f>Drivers!AJ11</f>
        <v/>
      </c>
      <c r="AK19" s="65" t="str">
        <f>Drivers!AK11</f>
        <v/>
      </c>
      <c r="AL19" s="65" t="str">
        <f>Drivers!AL11</f>
        <v/>
      </c>
      <c r="AM19" s="16"/>
      <c r="AN19" s="16"/>
      <c r="AO19" s="16"/>
      <c r="AP19" s="9"/>
      <c r="AQ19" s="76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</row>
    <row r="20" ht="13.5" customHeight="1">
      <c r="A20" s="68"/>
      <c r="B20" s="90"/>
      <c r="C20" s="86">
        <f t="shared" ref="C20:AL20" si="5">SUM(C18+C19)</f>
        <v>31</v>
      </c>
      <c r="D20" s="86">
        <f t="shared" si="5"/>
        <v>23</v>
      </c>
      <c r="E20" s="86">
        <f t="shared" si="5"/>
        <v>59</v>
      </c>
      <c r="F20" s="86">
        <f t="shared" si="5"/>
        <v>74</v>
      </c>
      <c r="G20" s="86">
        <f t="shared" si="5"/>
        <v>60</v>
      </c>
      <c r="H20" s="86">
        <f t="shared" si="5"/>
        <v>34</v>
      </c>
      <c r="I20" s="86">
        <f t="shared" si="5"/>
        <v>43</v>
      </c>
      <c r="J20" s="86">
        <f t="shared" si="5"/>
        <v>31</v>
      </c>
      <c r="K20" s="86">
        <f t="shared" si="5"/>
        <v>32</v>
      </c>
      <c r="L20" s="87">
        <f t="shared" si="5"/>
        <v>56</v>
      </c>
      <c r="M20" s="86">
        <f t="shared" si="5"/>
        <v>23</v>
      </c>
      <c r="N20" s="86">
        <f t="shared" si="5"/>
        <v>55</v>
      </c>
      <c r="O20" s="86">
        <f t="shared" si="5"/>
        <v>50</v>
      </c>
      <c r="P20" s="86">
        <f t="shared" si="5"/>
        <v>38</v>
      </c>
      <c r="Q20" s="86">
        <f t="shared" si="5"/>
        <v>11</v>
      </c>
      <c r="R20" s="86">
        <f t="shared" si="5"/>
        <v>11</v>
      </c>
      <c r="S20" s="86">
        <f t="shared" si="5"/>
        <v>1</v>
      </c>
      <c r="T20" s="86">
        <f t="shared" si="5"/>
        <v>50</v>
      </c>
      <c r="U20" s="86">
        <f t="shared" si="5"/>
        <v>40</v>
      </c>
      <c r="V20" s="86">
        <f t="shared" si="5"/>
        <v>39</v>
      </c>
      <c r="W20" s="86">
        <f t="shared" si="5"/>
        <v>23</v>
      </c>
      <c r="X20" s="86">
        <f t="shared" si="5"/>
        <v>35</v>
      </c>
      <c r="Y20" s="86">
        <f t="shared" si="5"/>
        <v>50</v>
      </c>
      <c r="Z20" s="86">
        <f t="shared" si="5"/>
        <v>36</v>
      </c>
      <c r="AA20" s="86">
        <f t="shared" si="5"/>
        <v>43</v>
      </c>
      <c r="AB20" s="86">
        <f t="shared" si="5"/>
        <v>20</v>
      </c>
      <c r="AC20" s="87">
        <f t="shared" si="5"/>
        <v>0</v>
      </c>
      <c r="AD20" s="86">
        <f t="shared" si="5"/>
        <v>0</v>
      </c>
      <c r="AE20" s="86">
        <f t="shared" si="5"/>
        <v>0</v>
      </c>
      <c r="AF20" s="86">
        <f t="shared" si="5"/>
        <v>0</v>
      </c>
      <c r="AG20" s="86">
        <f t="shared" si="5"/>
        <v>0</v>
      </c>
      <c r="AH20" s="86">
        <f t="shared" si="5"/>
        <v>0</v>
      </c>
      <c r="AI20" s="86">
        <f t="shared" si="5"/>
        <v>0</v>
      </c>
      <c r="AJ20" s="86">
        <f t="shared" si="5"/>
        <v>0</v>
      </c>
      <c r="AK20" s="86">
        <f t="shared" si="5"/>
        <v>0</v>
      </c>
      <c r="AL20" s="88">
        <f t="shared" si="5"/>
        <v>0</v>
      </c>
      <c r="AM20" s="75"/>
      <c r="AN20" s="21"/>
      <c r="AO20" s="75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</row>
    <row r="21" ht="12.75" customHeight="1">
      <c r="A21" s="78" t="str">
        <f>Drivers!AT19</f>
        <v>Kyle (1)</v>
      </c>
      <c r="B21" s="79" t="str">
        <f>Drivers!AU19</f>
        <v>Byron</v>
      </c>
      <c r="C21" s="80">
        <f>Drivers!C24</f>
        <v>25</v>
      </c>
      <c r="D21" s="80">
        <f>Drivers!D24</f>
        <v>25</v>
      </c>
      <c r="E21" s="80">
        <f>Drivers!E24</f>
        <v>26</v>
      </c>
      <c r="F21" s="80">
        <f>Drivers!F24</f>
        <v>32</v>
      </c>
      <c r="G21" s="80">
        <f>Drivers!G24</f>
        <v>49</v>
      </c>
      <c r="H21" s="80">
        <f>Drivers!H24</f>
        <v>34</v>
      </c>
      <c r="I21" s="80">
        <f>Drivers!I24</f>
        <v>47</v>
      </c>
      <c r="J21" s="80">
        <f>Drivers!J24</f>
        <v>7</v>
      </c>
      <c r="K21" s="80">
        <f>Drivers!K24</f>
        <v>30</v>
      </c>
      <c r="L21" s="80">
        <f>Drivers!L24</f>
        <v>2</v>
      </c>
      <c r="M21" s="80">
        <f>Drivers!M24</f>
        <v>31</v>
      </c>
      <c r="N21" s="80">
        <f>Drivers!N24</f>
        <v>1</v>
      </c>
      <c r="O21" s="80">
        <f>Drivers!O24</f>
        <v>28</v>
      </c>
      <c r="P21" s="80">
        <f>Drivers!P24</f>
        <v>15</v>
      </c>
      <c r="Q21" s="80">
        <f>Drivers!Q24</f>
        <v>25</v>
      </c>
      <c r="R21" s="80">
        <f>Drivers!R24</f>
        <v>38</v>
      </c>
      <c r="S21" s="80">
        <f>Drivers!S24</f>
        <v>6</v>
      </c>
      <c r="T21" s="80">
        <f>Drivers!T24</f>
        <v>25</v>
      </c>
      <c r="U21" s="80">
        <f>Drivers!U24</f>
        <v>53</v>
      </c>
      <c r="V21" s="80">
        <f>Drivers!V24</f>
        <v>21</v>
      </c>
      <c r="W21" s="80">
        <f>Drivers!W24</f>
        <v>26</v>
      </c>
      <c r="X21" s="80">
        <f>Drivers!X24</f>
        <v>22</v>
      </c>
      <c r="Y21" s="80">
        <f>Drivers!Y24</f>
        <v>32</v>
      </c>
      <c r="Z21" s="80">
        <f>Drivers!Z24</f>
        <v>30</v>
      </c>
      <c r="AA21" s="80">
        <f>Drivers!AA24</f>
        <v>14</v>
      </c>
      <c r="AB21" s="80">
        <f>Drivers!AB24</f>
        <v>22</v>
      </c>
      <c r="AC21" s="80" t="str">
        <f>Drivers!AC24</f>
        <v/>
      </c>
      <c r="AD21" s="80" t="str">
        <f>Drivers!AD24</f>
        <v/>
      </c>
      <c r="AE21" s="80" t="str">
        <f>Drivers!AE24</f>
        <v/>
      </c>
      <c r="AF21" s="80" t="str">
        <f>Drivers!AF24</f>
        <v/>
      </c>
      <c r="AG21" s="80" t="str">
        <f>Drivers!AG24</f>
        <v/>
      </c>
      <c r="AH21" s="80" t="str">
        <f>Drivers!AH24</f>
        <v/>
      </c>
      <c r="AI21" s="80" t="str">
        <f>Drivers!AI24</f>
        <v/>
      </c>
      <c r="AJ21" s="80" t="str">
        <f>Drivers!AJ24</f>
        <v/>
      </c>
      <c r="AK21" s="80" t="str">
        <f>Drivers!AK24</f>
        <v/>
      </c>
      <c r="AL21" s="80" t="str">
        <f>Drivers!AL24</f>
        <v/>
      </c>
      <c r="AM21" s="81">
        <f>SUM(C23:AL23)</f>
        <v>1421</v>
      </c>
      <c r="AN21" s="82">
        <f>RANK($AM$6:$AM$35,$AM$6:$AM$35,1&gt;10)</f>
        <v>4</v>
      </c>
      <c r="AO21" s="63">
        <f>AVERAGE(C23:AL23)</f>
        <v>39.47222222</v>
      </c>
      <c r="AP21" s="9"/>
      <c r="AQ21" s="76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</row>
    <row r="22" ht="12.75" customHeight="1">
      <c r="A22" s="64"/>
      <c r="B22" s="83" t="str">
        <f>Drivers!AU20</f>
        <v>Gibbs</v>
      </c>
      <c r="C22" s="65">
        <f>Drivers!C36</f>
        <v>3</v>
      </c>
      <c r="D22" s="65">
        <f>Drivers!D36</f>
        <v>14</v>
      </c>
      <c r="E22" s="65">
        <f>Drivers!E36</f>
        <v>5</v>
      </c>
      <c r="F22" s="65">
        <f>Drivers!F36</f>
        <v>0</v>
      </c>
      <c r="G22" s="65">
        <f>Drivers!G39</f>
        <v>39</v>
      </c>
      <c r="H22" s="65">
        <f>Drivers!H39</f>
        <v>33</v>
      </c>
      <c r="I22" s="65">
        <f>Drivers!I39</f>
        <v>49</v>
      </c>
      <c r="J22" s="65">
        <f>Drivers!J36</f>
        <v>1</v>
      </c>
      <c r="K22" s="65">
        <f>Drivers!K39</f>
        <v>38</v>
      </c>
      <c r="L22" s="65">
        <f>Drivers!L39</f>
        <v>3</v>
      </c>
      <c r="M22" s="65">
        <f>Drivers!M39</f>
        <v>8</v>
      </c>
      <c r="N22" s="65">
        <f>Drivers!N39</f>
        <v>42</v>
      </c>
      <c r="O22" s="65">
        <f>Drivers!O39</f>
        <v>53</v>
      </c>
      <c r="P22" s="65">
        <f>Drivers!P39</f>
        <v>24</v>
      </c>
      <c r="Q22" s="65">
        <f>Drivers!Q39</f>
        <v>21</v>
      </c>
      <c r="R22" s="65">
        <f>Drivers!R39</f>
        <v>36</v>
      </c>
      <c r="S22" s="65">
        <f>Drivers!S39</f>
        <v>29</v>
      </c>
      <c r="T22" s="65">
        <f>Drivers!T39</f>
        <v>54</v>
      </c>
      <c r="U22" s="65">
        <f>Drivers!U39</f>
        <v>38</v>
      </c>
      <c r="V22" s="65">
        <f>Drivers!V39</f>
        <v>38</v>
      </c>
      <c r="W22" s="65">
        <f>Drivers!W39</f>
        <v>43</v>
      </c>
      <c r="X22" s="65">
        <f>Drivers!X39</f>
        <v>43</v>
      </c>
      <c r="Y22" s="65">
        <f>Drivers!Y39</f>
        <v>69</v>
      </c>
      <c r="Z22" s="65">
        <f>Drivers!Z39</f>
        <v>22</v>
      </c>
      <c r="AA22" s="65">
        <f>Drivers!AA39</f>
        <v>38</v>
      </c>
      <c r="AB22" s="65">
        <f>Drivers!AB39</f>
        <v>12</v>
      </c>
      <c r="AC22" s="65" t="str">
        <f>Drivers!AC39</f>
        <v/>
      </c>
      <c r="AD22" s="65" t="str">
        <f>Drivers!AD39</f>
        <v/>
      </c>
      <c r="AE22" s="65" t="str">
        <f>Drivers!AE39</f>
        <v/>
      </c>
      <c r="AF22" s="65" t="str">
        <f>Drivers!AF39</f>
        <v/>
      </c>
      <c r="AG22" s="65" t="str">
        <f>Drivers!AG39</f>
        <v/>
      </c>
      <c r="AH22" s="65" t="str">
        <f>Drivers!AH39</f>
        <v/>
      </c>
      <c r="AI22" s="65" t="str">
        <f>Drivers!AI39</f>
        <v/>
      </c>
      <c r="AJ22" s="65" t="str">
        <f>Drivers!AJ39</f>
        <v/>
      </c>
      <c r="AK22" s="65" t="str">
        <f>Drivers!AK39</f>
        <v/>
      </c>
      <c r="AL22" s="65" t="str">
        <f>Drivers!AL39</f>
        <v/>
      </c>
      <c r="AM22" s="16"/>
      <c r="AN22" s="16"/>
      <c r="AO22" s="16"/>
      <c r="AP22" s="9"/>
      <c r="AQ22" s="76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</row>
    <row r="23" ht="13.5" customHeight="1">
      <c r="A23" s="68"/>
      <c r="B23" s="85"/>
      <c r="C23" s="86">
        <f t="shared" ref="C23:AL23" si="6">SUM(C21+C22)</f>
        <v>28</v>
      </c>
      <c r="D23" s="86">
        <f t="shared" si="6"/>
        <v>39</v>
      </c>
      <c r="E23" s="86">
        <f t="shared" si="6"/>
        <v>31</v>
      </c>
      <c r="F23" s="86">
        <f t="shared" si="6"/>
        <v>32</v>
      </c>
      <c r="G23" s="86">
        <f t="shared" si="6"/>
        <v>88</v>
      </c>
      <c r="H23" s="86">
        <f t="shared" si="6"/>
        <v>67</v>
      </c>
      <c r="I23" s="86">
        <f t="shared" si="6"/>
        <v>96</v>
      </c>
      <c r="J23" s="86">
        <f t="shared" si="6"/>
        <v>8</v>
      </c>
      <c r="K23" s="86">
        <f t="shared" si="6"/>
        <v>68</v>
      </c>
      <c r="L23" s="87">
        <f t="shared" si="6"/>
        <v>5</v>
      </c>
      <c r="M23" s="86">
        <f t="shared" si="6"/>
        <v>39</v>
      </c>
      <c r="N23" s="86">
        <f t="shared" si="6"/>
        <v>43</v>
      </c>
      <c r="O23" s="86">
        <f t="shared" si="6"/>
        <v>81</v>
      </c>
      <c r="P23" s="86">
        <f t="shared" si="6"/>
        <v>39</v>
      </c>
      <c r="Q23" s="86">
        <f t="shared" si="6"/>
        <v>46</v>
      </c>
      <c r="R23" s="86">
        <f t="shared" si="6"/>
        <v>74</v>
      </c>
      <c r="S23" s="86">
        <f t="shared" si="6"/>
        <v>35</v>
      </c>
      <c r="T23" s="86">
        <f t="shared" si="6"/>
        <v>79</v>
      </c>
      <c r="U23" s="86">
        <f t="shared" si="6"/>
        <v>91</v>
      </c>
      <c r="V23" s="86">
        <f t="shared" si="6"/>
        <v>59</v>
      </c>
      <c r="W23" s="86">
        <f t="shared" si="6"/>
        <v>69</v>
      </c>
      <c r="X23" s="86">
        <f t="shared" si="6"/>
        <v>65</v>
      </c>
      <c r="Y23" s="86">
        <f t="shared" si="6"/>
        <v>101</v>
      </c>
      <c r="Z23" s="86">
        <f t="shared" si="6"/>
        <v>52</v>
      </c>
      <c r="AA23" s="86">
        <f t="shared" si="6"/>
        <v>52</v>
      </c>
      <c r="AB23" s="86">
        <f t="shared" si="6"/>
        <v>34</v>
      </c>
      <c r="AC23" s="87">
        <f t="shared" si="6"/>
        <v>0</v>
      </c>
      <c r="AD23" s="86">
        <f t="shared" si="6"/>
        <v>0</v>
      </c>
      <c r="AE23" s="86">
        <f t="shared" si="6"/>
        <v>0</v>
      </c>
      <c r="AF23" s="86">
        <f t="shared" si="6"/>
        <v>0</v>
      </c>
      <c r="AG23" s="86">
        <f t="shared" si="6"/>
        <v>0</v>
      </c>
      <c r="AH23" s="86">
        <f t="shared" si="6"/>
        <v>0</v>
      </c>
      <c r="AI23" s="86">
        <f t="shared" si="6"/>
        <v>0</v>
      </c>
      <c r="AJ23" s="86">
        <f t="shared" si="6"/>
        <v>0</v>
      </c>
      <c r="AK23" s="86">
        <f t="shared" si="6"/>
        <v>0</v>
      </c>
      <c r="AL23" s="88">
        <f t="shared" si="6"/>
        <v>0</v>
      </c>
      <c r="AM23" s="75"/>
      <c r="AN23" s="75"/>
      <c r="AO23" s="75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</row>
    <row r="24" ht="12.75" customHeight="1">
      <c r="A24" s="78" t="str">
        <f>Drivers!AT22</f>
        <v>Burrey (2)</v>
      </c>
      <c r="B24" s="79" t="str">
        <f>Drivers!AU22</f>
        <v>Blaney</v>
      </c>
      <c r="C24" s="80">
        <f>Drivers!C15</f>
        <v>27</v>
      </c>
      <c r="D24" s="80">
        <f>Drivers!D15</f>
        <v>31</v>
      </c>
      <c r="E24" s="80">
        <f>Drivers!E15</f>
        <v>33</v>
      </c>
      <c r="F24" s="80">
        <f>Drivers!F15</f>
        <v>65</v>
      </c>
      <c r="G24" s="80">
        <f>Drivers!G15</f>
        <v>23</v>
      </c>
      <c r="H24" s="80">
        <f>Drivers!H15</f>
        <v>42</v>
      </c>
      <c r="I24" s="80">
        <f>Drivers!I15</f>
        <v>41</v>
      </c>
      <c r="J24" s="80">
        <f>Drivers!J15</f>
        <v>53</v>
      </c>
      <c r="K24" s="80">
        <f>Drivers!K15</f>
        <v>13</v>
      </c>
      <c r="L24" s="80">
        <f>Drivers!L15</f>
        <v>7</v>
      </c>
      <c r="M24" s="80">
        <f>Drivers!M15</f>
        <v>27</v>
      </c>
      <c r="N24" s="80">
        <f>Drivers!N15</f>
        <v>34</v>
      </c>
      <c r="O24" s="80">
        <f>Drivers!O15</f>
        <v>41</v>
      </c>
      <c r="P24" s="80">
        <f>Drivers!P15</f>
        <v>37</v>
      </c>
      <c r="Q24" s="80">
        <f>Drivers!Q15</f>
        <v>29</v>
      </c>
      <c r="R24" s="80">
        <f>Drivers!R15</f>
        <v>27</v>
      </c>
      <c r="S24" s="80">
        <f>Drivers!S15</f>
        <v>44</v>
      </c>
      <c r="T24" s="80">
        <f>Drivers!T15</f>
        <v>32</v>
      </c>
      <c r="U24" s="80">
        <f>Drivers!U15</f>
        <v>36</v>
      </c>
      <c r="V24" s="80">
        <f>Drivers!V15</f>
        <v>75</v>
      </c>
      <c r="W24" s="80">
        <f>Drivers!W15</f>
        <v>29</v>
      </c>
      <c r="X24" s="80">
        <f>Drivers!X15</f>
        <v>11</v>
      </c>
      <c r="Y24" s="80">
        <f>Drivers!Y15</f>
        <v>47</v>
      </c>
      <c r="Z24" s="80">
        <f>Drivers!Z15</f>
        <v>40</v>
      </c>
      <c r="AA24" s="80">
        <f>Drivers!AA15</f>
        <v>70</v>
      </c>
      <c r="AB24" s="80">
        <f>Drivers!AB15</f>
        <v>14</v>
      </c>
      <c r="AC24" s="80" t="str">
        <f>Drivers!AC15</f>
        <v/>
      </c>
      <c r="AD24" s="80" t="str">
        <f>Drivers!AD15</f>
        <v/>
      </c>
      <c r="AE24" s="80" t="str">
        <f>Drivers!AE15</f>
        <v/>
      </c>
      <c r="AF24" s="80" t="str">
        <f>Drivers!AF15</f>
        <v/>
      </c>
      <c r="AG24" s="80" t="str">
        <f>Drivers!AG15</f>
        <v/>
      </c>
      <c r="AH24" s="80" t="str">
        <f>Drivers!AH15</f>
        <v/>
      </c>
      <c r="AI24" s="80" t="str">
        <f>Drivers!AI15</f>
        <v/>
      </c>
      <c r="AJ24" s="80" t="str">
        <f>Drivers!AJ15</f>
        <v/>
      </c>
      <c r="AK24" s="80" t="str">
        <f>Drivers!AK15</f>
        <v/>
      </c>
      <c r="AL24" s="80" t="str">
        <f>Drivers!AL15</f>
        <v/>
      </c>
      <c r="AM24" s="61">
        <f>SUM(C26:AL26)</f>
        <v>1476</v>
      </c>
      <c r="AN24" s="89">
        <f>RANK($AM$6:$AM$35,$AM$6:$AM$35,1&gt;10)</f>
        <v>3</v>
      </c>
      <c r="AO24" s="63">
        <f>AVERAGE(C26:AL26)</f>
        <v>41</v>
      </c>
      <c r="AP24" s="9"/>
      <c r="AQ24" s="76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ht="12.75" customHeight="1">
      <c r="A25" s="64"/>
      <c r="B25" s="126" t="str">
        <f>Drivers!AU23</f>
        <v>Hosevar</v>
      </c>
      <c r="C25" s="65">
        <f>Drivers!C4</f>
        <v>17</v>
      </c>
      <c r="D25" s="65">
        <f>Drivers!D4</f>
        <v>34</v>
      </c>
      <c r="E25" s="65">
        <f>Drivers!E4</f>
        <v>13</v>
      </c>
      <c r="F25" s="65">
        <f>Drivers!F4</f>
        <v>10</v>
      </c>
      <c r="G25" s="65">
        <f>Drivers!G23</f>
        <v>41</v>
      </c>
      <c r="H25" s="65">
        <f>Drivers!H23</f>
        <v>10</v>
      </c>
      <c r="I25" s="65">
        <f>Drivers!I23</f>
        <v>1</v>
      </c>
      <c r="J25" s="65">
        <f>Drivers!J23</f>
        <v>30</v>
      </c>
      <c r="K25" s="65">
        <f>Drivers!K23</f>
        <v>39</v>
      </c>
      <c r="L25" s="65">
        <f>Drivers!L23</f>
        <v>1</v>
      </c>
      <c r="M25" s="65">
        <f>Drivers!M23</f>
        <v>28</v>
      </c>
      <c r="N25" s="65">
        <f>Drivers!N23</f>
        <v>9</v>
      </c>
      <c r="O25" s="65">
        <f>Drivers!O23</f>
        <v>15</v>
      </c>
      <c r="P25" s="65">
        <f>Drivers!P23</f>
        <v>10</v>
      </c>
      <c r="Q25" s="65">
        <f>Drivers!Q42</f>
        <v>45</v>
      </c>
      <c r="R25" s="65">
        <f>Drivers!R42</f>
        <v>21</v>
      </c>
      <c r="S25" s="65">
        <f>Drivers!S42</f>
        <v>27</v>
      </c>
      <c r="T25" s="65">
        <f>Drivers!T42</f>
        <v>33</v>
      </c>
      <c r="U25" s="65">
        <f>Drivers!U42</f>
        <v>15</v>
      </c>
      <c r="V25" s="65">
        <f>Drivers!V42</f>
        <v>39</v>
      </c>
      <c r="W25" s="65">
        <f>Drivers!W42</f>
        <v>35</v>
      </c>
      <c r="X25" s="65">
        <f>Drivers!X42</f>
        <v>40</v>
      </c>
      <c r="Y25" s="65">
        <f>Drivers!Y42</f>
        <v>6</v>
      </c>
      <c r="Z25" s="65">
        <f>Drivers!Z42</f>
        <v>1</v>
      </c>
      <c r="AA25" s="65">
        <f>Drivers!AA42</f>
        <v>27</v>
      </c>
      <c r="AB25" s="65">
        <f>Drivers!AB42</f>
        <v>1</v>
      </c>
      <c r="AC25" s="65" t="str">
        <f>Drivers!AC42</f>
        <v/>
      </c>
      <c r="AD25" s="65" t="str">
        <f>Drivers!AD42</f>
        <v/>
      </c>
      <c r="AE25" s="65" t="str">
        <f>Drivers!AE42</f>
        <v/>
      </c>
      <c r="AF25" s="65" t="str">
        <f>Drivers!AF42</f>
        <v/>
      </c>
      <c r="AG25" s="65" t="str">
        <f>Drivers!AG42</f>
        <v/>
      </c>
      <c r="AH25" s="65" t="str">
        <f>Drivers!AH42</f>
        <v/>
      </c>
      <c r="AI25" s="65" t="str">
        <f>Drivers!AI42</f>
        <v/>
      </c>
      <c r="AJ25" s="65" t="str">
        <f>Drivers!AJ42</f>
        <v/>
      </c>
      <c r="AK25" s="65" t="str">
        <f>Drivers!AK42</f>
        <v/>
      </c>
      <c r="AL25" s="65" t="str">
        <f>Drivers!AL42</f>
        <v/>
      </c>
      <c r="AM25" s="16"/>
      <c r="AN25" s="16"/>
      <c r="AO25" s="16"/>
      <c r="AP25" s="9"/>
      <c r="AQ25" s="76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</row>
    <row r="26" ht="13.5" customHeight="1">
      <c r="A26" s="68"/>
      <c r="B26" s="90"/>
      <c r="C26" s="86">
        <f t="shared" ref="C26:AL26" si="7">SUM(C24+C25)</f>
        <v>44</v>
      </c>
      <c r="D26" s="86">
        <f t="shared" si="7"/>
        <v>65</v>
      </c>
      <c r="E26" s="86">
        <f t="shared" si="7"/>
        <v>46</v>
      </c>
      <c r="F26" s="86">
        <f t="shared" si="7"/>
        <v>75</v>
      </c>
      <c r="G26" s="86">
        <f t="shared" si="7"/>
        <v>64</v>
      </c>
      <c r="H26" s="86">
        <f t="shared" si="7"/>
        <v>52</v>
      </c>
      <c r="I26" s="86">
        <f t="shared" si="7"/>
        <v>42</v>
      </c>
      <c r="J26" s="86">
        <f t="shared" si="7"/>
        <v>83</v>
      </c>
      <c r="K26" s="86">
        <f t="shared" si="7"/>
        <v>52</v>
      </c>
      <c r="L26" s="87">
        <f t="shared" si="7"/>
        <v>8</v>
      </c>
      <c r="M26" s="86">
        <f t="shared" si="7"/>
        <v>55</v>
      </c>
      <c r="N26" s="86">
        <f t="shared" si="7"/>
        <v>43</v>
      </c>
      <c r="O26" s="86">
        <f t="shared" si="7"/>
        <v>56</v>
      </c>
      <c r="P26" s="86">
        <f t="shared" si="7"/>
        <v>47</v>
      </c>
      <c r="Q26" s="86">
        <f t="shared" si="7"/>
        <v>74</v>
      </c>
      <c r="R26" s="86">
        <f t="shared" si="7"/>
        <v>48</v>
      </c>
      <c r="S26" s="86">
        <f t="shared" si="7"/>
        <v>71</v>
      </c>
      <c r="T26" s="86">
        <f t="shared" si="7"/>
        <v>65</v>
      </c>
      <c r="U26" s="86">
        <f t="shared" si="7"/>
        <v>51</v>
      </c>
      <c r="V26" s="86">
        <f t="shared" si="7"/>
        <v>114</v>
      </c>
      <c r="W26" s="86">
        <f t="shared" si="7"/>
        <v>64</v>
      </c>
      <c r="X26" s="86">
        <f t="shared" si="7"/>
        <v>51</v>
      </c>
      <c r="Y26" s="86">
        <f t="shared" si="7"/>
        <v>53</v>
      </c>
      <c r="Z26" s="86">
        <f t="shared" si="7"/>
        <v>41</v>
      </c>
      <c r="AA26" s="86">
        <f t="shared" si="7"/>
        <v>97</v>
      </c>
      <c r="AB26" s="86">
        <f t="shared" si="7"/>
        <v>15</v>
      </c>
      <c r="AC26" s="87">
        <f t="shared" si="7"/>
        <v>0</v>
      </c>
      <c r="AD26" s="86">
        <f t="shared" si="7"/>
        <v>0</v>
      </c>
      <c r="AE26" s="86">
        <f t="shared" si="7"/>
        <v>0</v>
      </c>
      <c r="AF26" s="86">
        <f t="shared" si="7"/>
        <v>0</v>
      </c>
      <c r="AG26" s="86">
        <f t="shared" si="7"/>
        <v>0</v>
      </c>
      <c r="AH26" s="86">
        <f t="shared" si="7"/>
        <v>0</v>
      </c>
      <c r="AI26" s="86">
        <f t="shared" si="7"/>
        <v>0</v>
      </c>
      <c r="AJ26" s="86">
        <f t="shared" si="7"/>
        <v>0</v>
      </c>
      <c r="AK26" s="86">
        <f t="shared" si="7"/>
        <v>0</v>
      </c>
      <c r="AL26" s="88">
        <f t="shared" si="7"/>
        <v>0</v>
      </c>
      <c r="AM26" s="21"/>
      <c r="AN26" s="21"/>
      <c r="AO26" s="75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</row>
    <row r="27" ht="12.75" customHeight="1">
      <c r="A27" s="78">
        <f>Drivers!AT25</f>
        <v>8</v>
      </c>
      <c r="B27" s="92" t="str">
        <f>Drivers!AU25</f>
        <v>A</v>
      </c>
      <c r="C27" s="80"/>
      <c r="D27" s="80"/>
      <c r="E27" s="80"/>
      <c r="F27" s="80"/>
      <c r="G27" s="80"/>
      <c r="H27" s="80"/>
      <c r="I27" s="80"/>
      <c r="J27" s="80"/>
      <c r="K27" s="80"/>
      <c r="L27" s="93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5"/>
      <c r="AD27" s="94"/>
      <c r="AE27" s="94"/>
      <c r="AF27" s="96"/>
      <c r="AG27" s="96"/>
      <c r="AH27" s="96"/>
      <c r="AI27" s="96"/>
      <c r="AJ27" s="94"/>
      <c r="AK27" s="94"/>
      <c r="AL27" s="97"/>
      <c r="AM27" s="81">
        <f>SUM(C29:AL29)</f>
        <v>0</v>
      </c>
      <c r="AN27" s="82">
        <f>RANK($AM$6:$AM$35,$AM$6:$AM$35,1&gt;10)</f>
        <v>8</v>
      </c>
      <c r="AO27" s="63">
        <f>AVERAGE(C29:AL29)</f>
        <v>0</v>
      </c>
      <c r="AP27" s="9"/>
      <c r="AQ27" s="76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ht="12.75" customHeight="1">
      <c r="A28" s="64"/>
      <c r="B28" s="55" t="str">
        <f>Drivers!AU26</f>
        <v>B</v>
      </c>
      <c r="C28" s="65"/>
      <c r="D28" s="65"/>
      <c r="E28" s="65"/>
      <c r="F28" s="65"/>
      <c r="G28" s="65"/>
      <c r="H28" s="65"/>
      <c r="I28" s="65"/>
      <c r="J28" s="65"/>
      <c r="K28" s="65"/>
      <c r="L28" s="98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100"/>
      <c r="AD28" s="99"/>
      <c r="AE28" s="99"/>
      <c r="AF28" s="101"/>
      <c r="AG28" s="101"/>
      <c r="AH28" s="101"/>
      <c r="AI28" s="101"/>
      <c r="AJ28" s="99"/>
      <c r="AK28" s="99"/>
      <c r="AL28" s="102"/>
      <c r="AM28" s="16"/>
      <c r="AN28" s="16"/>
      <c r="AO28" s="16"/>
      <c r="AP28" s="9"/>
      <c r="AQ28" s="76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ht="13.5" customHeight="1">
      <c r="A29" s="68"/>
      <c r="B29" s="90"/>
      <c r="C29" s="86">
        <f t="shared" ref="C29:AL29" si="8">SUM(C27+C28)</f>
        <v>0</v>
      </c>
      <c r="D29" s="86">
        <f t="shared" si="8"/>
        <v>0</v>
      </c>
      <c r="E29" s="86">
        <f t="shared" si="8"/>
        <v>0</v>
      </c>
      <c r="F29" s="86">
        <f t="shared" si="8"/>
        <v>0</v>
      </c>
      <c r="G29" s="86">
        <f t="shared" si="8"/>
        <v>0</v>
      </c>
      <c r="H29" s="86">
        <f t="shared" si="8"/>
        <v>0</v>
      </c>
      <c r="I29" s="86">
        <f t="shared" si="8"/>
        <v>0</v>
      </c>
      <c r="J29" s="86">
        <f t="shared" si="8"/>
        <v>0</v>
      </c>
      <c r="K29" s="86">
        <f t="shared" si="8"/>
        <v>0</v>
      </c>
      <c r="L29" s="87">
        <f t="shared" si="8"/>
        <v>0</v>
      </c>
      <c r="M29" s="86">
        <f t="shared" si="8"/>
        <v>0</v>
      </c>
      <c r="N29" s="86">
        <f t="shared" si="8"/>
        <v>0</v>
      </c>
      <c r="O29" s="86">
        <f t="shared" si="8"/>
        <v>0</v>
      </c>
      <c r="P29" s="86">
        <f t="shared" si="8"/>
        <v>0</v>
      </c>
      <c r="Q29" s="86">
        <f t="shared" si="8"/>
        <v>0</v>
      </c>
      <c r="R29" s="86">
        <f t="shared" si="8"/>
        <v>0</v>
      </c>
      <c r="S29" s="86">
        <f t="shared" si="8"/>
        <v>0</v>
      </c>
      <c r="T29" s="86">
        <f t="shared" si="8"/>
        <v>0</v>
      </c>
      <c r="U29" s="86">
        <f t="shared" si="8"/>
        <v>0</v>
      </c>
      <c r="V29" s="86">
        <f t="shared" si="8"/>
        <v>0</v>
      </c>
      <c r="W29" s="86">
        <f t="shared" si="8"/>
        <v>0</v>
      </c>
      <c r="X29" s="86">
        <f t="shared" si="8"/>
        <v>0</v>
      </c>
      <c r="Y29" s="86">
        <f t="shared" si="8"/>
        <v>0</v>
      </c>
      <c r="Z29" s="86">
        <f t="shared" si="8"/>
        <v>0</v>
      </c>
      <c r="AA29" s="86">
        <f t="shared" si="8"/>
        <v>0</v>
      </c>
      <c r="AB29" s="86">
        <f t="shared" si="8"/>
        <v>0</v>
      </c>
      <c r="AC29" s="87">
        <f t="shared" si="8"/>
        <v>0</v>
      </c>
      <c r="AD29" s="86">
        <f t="shared" si="8"/>
        <v>0</v>
      </c>
      <c r="AE29" s="86">
        <f t="shared" si="8"/>
        <v>0</v>
      </c>
      <c r="AF29" s="86">
        <f t="shared" si="8"/>
        <v>0</v>
      </c>
      <c r="AG29" s="86">
        <f t="shared" si="8"/>
        <v>0</v>
      </c>
      <c r="AH29" s="86">
        <f t="shared" si="8"/>
        <v>0</v>
      </c>
      <c r="AI29" s="86">
        <f t="shared" si="8"/>
        <v>0</v>
      </c>
      <c r="AJ29" s="86">
        <f t="shared" si="8"/>
        <v>0</v>
      </c>
      <c r="AK29" s="86">
        <f t="shared" si="8"/>
        <v>0</v>
      </c>
      <c r="AL29" s="88">
        <f t="shared" si="8"/>
        <v>0</v>
      </c>
      <c r="AM29" s="21"/>
      <c r="AN29" s="75"/>
      <c r="AO29" s="75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</row>
    <row r="30" ht="12.75" customHeight="1">
      <c r="A30" s="103">
        <f>Drivers!AT28</f>
        <v>9</v>
      </c>
      <c r="B30" s="79" t="str">
        <f>Drivers!AU28</f>
        <v>A</v>
      </c>
      <c r="C30" s="80"/>
      <c r="D30" s="80"/>
      <c r="E30" s="80"/>
      <c r="F30" s="80"/>
      <c r="G30" s="80"/>
      <c r="H30" s="80"/>
      <c r="I30" s="80"/>
      <c r="J30" s="80"/>
      <c r="K30" s="80"/>
      <c r="L30" s="93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5"/>
      <c r="AD30" s="104"/>
      <c r="AE30" s="104"/>
      <c r="AF30" s="106"/>
      <c r="AG30" s="106"/>
      <c r="AH30" s="106"/>
      <c r="AI30" s="106"/>
      <c r="AJ30" s="104"/>
      <c r="AK30" s="104"/>
      <c r="AL30" s="97"/>
      <c r="AM30" s="81">
        <f>SUM(C32:AL32)</f>
        <v>0</v>
      </c>
      <c r="AN30" s="82">
        <f>RANK($AM$6:$AM$35,$AM$6:$AM$35,1&gt;10)</f>
        <v>8</v>
      </c>
      <c r="AO30" s="63">
        <f>AVERAGE(C32:AL32)</f>
        <v>0</v>
      </c>
      <c r="AP30" s="9"/>
      <c r="AQ30" s="76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</row>
    <row r="31" ht="12.75" customHeight="1">
      <c r="A31" s="64"/>
      <c r="B31" s="55" t="str">
        <f>Drivers!AU29</f>
        <v>B</v>
      </c>
      <c r="C31" s="65"/>
      <c r="D31" s="65"/>
      <c r="E31" s="65"/>
      <c r="F31" s="65"/>
      <c r="G31" s="65"/>
      <c r="H31" s="65"/>
      <c r="I31" s="65"/>
      <c r="J31" s="65"/>
      <c r="K31" s="65"/>
      <c r="L31" s="98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8"/>
      <c r="AD31" s="107"/>
      <c r="AE31" s="107"/>
      <c r="AF31" s="109"/>
      <c r="AG31" s="109"/>
      <c r="AH31" s="109"/>
      <c r="AI31" s="109"/>
      <c r="AJ31" s="107"/>
      <c r="AK31" s="107"/>
      <c r="AL31" s="102"/>
      <c r="AM31" s="16"/>
      <c r="AN31" s="16"/>
      <c r="AO31" s="16"/>
      <c r="AP31" s="9"/>
      <c r="AQ31" s="76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ht="12.75" customHeight="1">
      <c r="A32" s="110"/>
      <c r="B32" s="90"/>
      <c r="C32" s="86">
        <f t="shared" ref="C32:AL32" si="9">SUM(C30+C31)</f>
        <v>0</v>
      </c>
      <c r="D32" s="86">
        <f t="shared" si="9"/>
        <v>0</v>
      </c>
      <c r="E32" s="86">
        <f t="shared" si="9"/>
        <v>0</v>
      </c>
      <c r="F32" s="86">
        <f t="shared" si="9"/>
        <v>0</v>
      </c>
      <c r="G32" s="86">
        <f t="shared" si="9"/>
        <v>0</v>
      </c>
      <c r="H32" s="86">
        <f t="shared" si="9"/>
        <v>0</v>
      </c>
      <c r="I32" s="86">
        <f t="shared" si="9"/>
        <v>0</v>
      </c>
      <c r="J32" s="86">
        <f t="shared" si="9"/>
        <v>0</v>
      </c>
      <c r="K32" s="86">
        <f t="shared" si="9"/>
        <v>0</v>
      </c>
      <c r="L32" s="87">
        <f t="shared" si="9"/>
        <v>0</v>
      </c>
      <c r="M32" s="86">
        <f t="shared" si="9"/>
        <v>0</v>
      </c>
      <c r="N32" s="86">
        <f t="shared" si="9"/>
        <v>0</v>
      </c>
      <c r="O32" s="86">
        <f t="shared" si="9"/>
        <v>0</v>
      </c>
      <c r="P32" s="86">
        <f t="shared" si="9"/>
        <v>0</v>
      </c>
      <c r="Q32" s="86">
        <f t="shared" si="9"/>
        <v>0</v>
      </c>
      <c r="R32" s="86">
        <f t="shared" si="9"/>
        <v>0</v>
      </c>
      <c r="S32" s="86">
        <f t="shared" si="9"/>
        <v>0</v>
      </c>
      <c r="T32" s="86">
        <f t="shared" si="9"/>
        <v>0</v>
      </c>
      <c r="U32" s="86">
        <f t="shared" si="9"/>
        <v>0</v>
      </c>
      <c r="V32" s="86">
        <f t="shared" si="9"/>
        <v>0</v>
      </c>
      <c r="W32" s="86">
        <f t="shared" si="9"/>
        <v>0</v>
      </c>
      <c r="X32" s="86">
        <f t="shared" si="9"/>
        <v>0</v>
      </c>
      <c r="Y32" s="86">
        <f t="shared" si="9"/>
        <v>0</v>
      </c>
      <c r="Z32" s="86">
        <f t="shared" si="9"/>
        <v>0</v>
      </c>
      <c r="AA32" s="86">
        <f t="shared" si="9"/>
        <v>0</v>
      </c>
      <c r="AB32" s="86">
        <f t="shared" si="9"/>
        <v>0</v>
      </c>
      <c r="AC32" s="87">
        <f t="shared" si="9"/>
        <v>0</v>
      </c>
      <c r="AD32" s="86">
        <f t="shared" si="9"/>
        <v>0</v>
      </c>
      <c r="AE32" s="86">
        <f t="shared" si="9"/>
        <v>0</v>
      </c>
      <c r="AF32" s="86">
        <f t="shared" si="9"/>
        <v>0</v>
      </c>
      <c r="AG32" s="86">
        <f t="shared" si="9"/>
        <v>0</v>
      </c>
      <c r="AH32" s="86">
        <f t="shared" si="9"/>
        <v>0</v>
      </c>
      <c r="AI32" s="86">
        <f t="shared" si="9"/>
        <v>0</v>
      </c>
      <c r="AJ32" s="86">
        <f t="shared" si="9"/>
        <v>0</v>
      </c>
      <c r="AK32" s="86">
        <f t="shared" si="9"/>
        <v>0</v>
      </c>
      <c r="AL32" s="88">
        <f t="shared" si="9"/>
        <v>0</v>
      </c>
      <c r="AM32" s="75"/>
      <c r="AN32" s="75"/>
      <c r="AO32" s="75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</row>
    <row r="33" ht="12.75" customHeight="1">
      <c r="A33" s="78">
        <f>Drivers!AT31</f>
        <v>10</v>
      </c>
      <c r="B33" s="55" t="str">
        <f>Drivers!AU31</f>
        <v>A</v>
      </c>
      <c r="C33" s="57"/>
      <c r="D33" s="57"/>
      <c r="E33" s="57"/>
      <c r="F33" s="57"/>
      <c r="G33" s="57"/>
      <c r="H33" s="57"/>
      <c r="I33" s="57"/>
      <c r="J33" s="57"/>
      <c r="K33" s="57"/>
      <c r="L33" s="111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8"/>
      <c r="AD33" s="107"/>
      <c r="AE33" s="107"/>
      <c r="AF33" s="109"/>
      <c r="AG33" s="109"/>
      <c r="AH33" s="109"/>
      <c r="AI33" s="109"/>
      <c r="AJ33" s="107"/>
      <c r="AK33" s="107"/>
      <c r="AL33" s="102"/>
      <c r="AM33" s="61">
        <f>SUM(C35:AL35)</f>
        <v>0</v>
      </c>
      <c r="AN33" s="82">
        <f>RANK($AM$6:$AM$35,$AM$6:$AM$35,1&gt;10)</f>
        <v>8</v>
      </c>
      <c r="AO33" s="112"/>
      <c r="AP33" s="9"/>
      <c r="AQ33" s="76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</row>
    <row r="34" ht="12.75" customHeight="1">
      <c r="A34" s="64"/>
      <c r="B34" s="55" t="str">
        <f>Drivers!AU32</f>
        <v>B</v>
      </c>
      <c r="C34" s="65"/>
      <c r="D34" s="65"/>
      <c r="E34" s="65"/>
      <c r="F34" s="65"/>
      <c r="G34" s="65"/>
      <c r="H34" s="65"/>
      <c r="I34" s="65"/>
      <c r="J34" s="65"/>
      <c r="K34" s="65"/>
      <c r="L34" s="98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8"/>
      <c r="AD34" s="107"/>
      <c r="AE34" s="107"/>
      <c r="AF34" s="109"/>
      <c r="AG34" s="109"/>
      <c r="AH34" s="109"/>
      <c r="AI34" s="109"/>
      <c r="AJ34" s="107"/>
      <c r="AK34" s="107"/>
      <c r="AL34" s="102"/>
      <c r="AM34" s="16"/>
      <c r="AN34" s="16"/>
      <c r="AO34" s="16"/>
      <c r="AP34" s="9"/>
      <c r="AQ34" s="76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  <row r="35" ht="13.5" customHeight="1">
      <c r="A35" s="68"/>
      <c r="B35" s="113"/>
      <c r="C35" s="114">
        <f t="shared" ref="C35:AL35" si="10">SUM(C33+C34)</f>
        <v>0</v>
      </c>
      <c r="D35" s="114">
        <f t="shared" si="10"/>
        <v>0</v>
      </c>
      <c r="E35" s="114">
        <f t="shared" si="10"/>
        <v>0</v>
      </c>
      <c r="F35" s="114">
        <f t="shared" si="10"/>
        <v>0</v>
      </c>
      <c r="G35" s="114">
        <f t="shared" si="10"/>
        <v>0</v>
      </c>
      <c r="H35" s="114">
        <f t="shared" si="10"/>
        <v>0</v>
      </c>
      <c r="I35" s="114">
        <f t="shared" si="10"/>
        <v>0</v>
      </c>
      <c r="J35" s="114">
        <f t="shared" si="10"/>
        <v>0</v>
      </c>
      <c r="K35" s="114">
        <f t="shared" si="10"/>
        <v>0</v>
      </c>
      <c r="L35" s="115">
        <f t="shared" si="10"/>
        <v>0</v>
      </c>
      <c r="M35" s="114">
        <f t="shared" si="10"/>
        <v>0</v>
      </c>
      <c r="N35" s="114">
        <f t="shared" si="10"/>
        <v>0</v>
      </c>
      <c r="O35" s="114">
        <f t="shared" si="10"/>
        <v>0</v>
      </c>
      <c r="P35" s="114">
        <f t="shared" si="10"/>
        <v>0</v>
      </c>
      <c r="Q35" s="114">
        <f t="shared" si="10"/>
        <v>0</v>
      </c>
      <c r="R35" s="114">
        <f t="shared" si="10"/>
        <v>0</v>
      </c>
      <c r="S35" s="114">
        <f t="shared" si="10"/>
        <v>0</v>
      </c>
      <c r="T35" s="114">
        <f t="shared" si="10"/>
        <v>0</v>
      </c>
      <c r="U35" s="114">
        <f t="shared" si="10"/>
        <v>0</v>
      </c>
      <c r="V35" s="114">
        <f t="shared" si="10"/>
        <v>0</v>
      </c>
      <c r="W35" s="114">
        <f t="shared" si="10"/>
        <v>0</v>
      </c>
      <c r="X35" s="114">
        <f t="shared" si="10"/>
        <v>0</v>
      </c>
      <c r="Y35" s="114">
        <f t="shared" si="10"/>
        <v>0</v>
      </c>
      <c r="Z35" s="114">
        <f t="shared" si="10"/>
        <v>0</v>
      </c>
      <c r="AA35" s="114">
        <f t="shared" si="10"/>
        <v>0</v>
      </c>
      <c r="AB35" s="114">
        <f t="shared" si="10"/>
        <v>0</v>
      </c>
      <c r="AC35" s="115">
        <f t="shared" si="10"/>
        <v>0</v>
      </c>
      <c r="AD35" s="114">
        <f t="shared" si="10"/>
        <v>0</v>
      </c>
      <c r="AE35" s="114">
        <f t="shared" si="10"/>
        <v>0</v>
      </c>
      <c r="AF35" s="114">
        <f t="shared" si="10"/>
        <v>0</v>
      </c>
      <c r="AG35" s="114">
        <f t="shared" si="10"/>
        <v>0</v>
      </c>
      <c r="AH35" s="114">
        <f t="shared" si="10"/>
        <v>0</v>
      </c>
      <c r="AI35" s="114">
        <f t="shared" si="10"/>
        <v>0</v>
      </c>
      <c r="AJ35" s="114">
        <f t="shared" si="10"/>
        <v>0</v>
      </c>
      <c r="AK35" s="114">
        <f t="shared" si="10"/>
        <v>0</v>
      </c>
      <c r="AL35" s="116">
        <f t="shared" si="10"/>
        <v>0</v>
      </c>
      <c r="AM35" s="48"/>
      <c r="AN35" s="48"/>
      <c r="AO35" s="48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</row>
    <row r="36" ht="12.75" customHeight="1">
      <c r="A36" s="117"/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20"/>
      <c r="AG36" s="120"/>
      <c r="AH36" s="120"/>
      <c r="AI36" s="120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</row>
    <row r="37" ht="12.75" customHeight="1">
      <c r="A37" s="121"/>
      <c r="B37" s="118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20"/>
      <c r="AG37" s="120"/>
      <c r="AH37" s="120"/>
      <c r="AI37" s="120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</row>
    <row r="38" ht="12.75" customHeight="1">
      <c r="A38" s="121"/>
      <c r="B38" s="118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2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20"/>
      <c r="AG38" s="120"/>
      <c r="AH38" s="120"/>
      <c r="AI38" s="120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</row>
    <row r="39" ht="12.75" customHeight="1">
      <c r="A39" s="117"/>
      <c r="B39" s="123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20"/>
      <c r="AG39" s="120"/>
      <c r="AH39" s="120"/>
      <c r="AI39" s="120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</row>
    <row r="40" ht="12.75" customHeight="1">
      <c r="A40" s="121"/>
      <c r="B40" s="118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24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20"/>
      <c r="AG40" s="120"/>
      <c r="AH40" s="120"/>
      <c r="AI40" s="120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</row>
    <row r="41" ht="12.75" customHeight="1">
      <c r="A41" s="121"/>
      <c r="B41" s="118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12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20"/>
      <c r="AG41" s="120"/>
      <c r="AH41" s="120"/>
      <c r="AI41" s="120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</row>
    <row r="42" ht="12.75" customHeight="1">
      <c r="A42" s="117"/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24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20"/>
      <c r="AG42" s="120"/>
      <c r="AH42" s="120"/>
      <c r="AI42" s="120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</row>
    <row r="43" ht="12.75" customHeight="1">
      <c r="A43" s="121"/>
      <c r="B43" s="118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124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20"/>
      <c r="AG43" s="120"/>
      <c r="AH43" s="120"/>
      <c r="AI43" s="120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</row>
    <row r="44" ht="12.75" customHeight="1">
      <c r="A44" s="121"/>
      <c r="B44" s="118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20"/>
      <c r="AG44" s="120"/>
      <c r="AH44" s="120"/>
      <c r="AI44" s="120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</row>
    <row r="45" ht="12.75" customHeight="1">
      <c r="A45" s="117"/>
      <c r="B45" s="11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20"/>
      <c r="AG45" s="120"/>
      <c r="AH45" s="120"/>
      <c r="AI45" s="120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</row>
    <row r="46" ht="12.75" customHeight="1">
      <c r="A46" s="121"/>
      <c r="B46" s="118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20"/>
      <c r="AG46" s="120"/>
      <c r="AH46" s="120"/>
      <c r="AI46" s="120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</row>
    <row r="47" ht="12.75" customHeight="1">
      <c r="A47" s="121"/>
      <c r="B47" s="123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20"/>
      <c r="AG47" s="120"/>
      <c r="AH47" s="120"/>
      <c r="AI47" s="120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  <row r="48" ht="12.75" customHeight="1">
      <c r="A48" s="117"/>
      <c r="B48" s="11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20"/>
      <c r="AG48" s="120"/>
      <c r="AH48" s="120"/>
      <c r="AI48" s="120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</row>
    <row r="49" ht="12.75" customHeight="1">
      <c r="A49" s="121"/>
      <c r="B49" s="118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124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20"/>
      <c r="AG49" s="120"/>
      <c r="AH49" s="120"/>
      <c r="AI49" s="120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</row>
    <row r="50" ht="12.75" customHeight="1">
      <c r="A50" s="121"/>
      <c r="B50" s="118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20"/>
      <c r="AG50" s="120"/>
      <c r="AH50" s="120"/>
      <c r="AI50" s="120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</row>
    <row r="51" ht="12.75" customHeight="1">
      <c r="A51" s="117"/>
      <c r="B51" s="123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20"/>
      <c r="AG51" s="120"/>
      <c r="AH51" s="120"/>
      <c r="AI51" s="120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</row>
    <row r="52" ht="12.75" customHeight="1">
      <c r="A52" s="121"/>
      <c r="B52" s="118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20"/>
      <c r="AG52" s="120"/>
      <c r="AH52" s="120"/>
      <c r="AI52" s="120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</row>
    <row r="53" ht="12.75" customHeight="1">
      <c r="A53" s="121"/>
      <c r="B53" s="118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124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20"/>
      <c r="AG53" s="120"/>
      <c r="AH53" s="120"/>
      <c r="AI53" s="120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</row>
    <row r="54" ht="12.75" customHeight="1">
      <c r="A54" s="117"/>
      <c r="B54" s="118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5"/>
      <c r="AG54" s="125"/>
      <c r="AH54" s="125"/>
      <c r="AI54" s="125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</row>
    <row r="55" ht="12.75" customHeight="1">
      <c r="A55" s="121"/>
      <c r="B55" s="118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20"/>
      <c r="AG55" s="120"/>
      <c r="AH55" s="120"/>
      <c r="AI55" s="120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</row>
    <row r="56" ht="12.75" customHeight="1">
      <c r="A56" s="121"/>
      <c r="B56" s="118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20"/>
      <c r="AG56" s="120"/>
      <c r="AH56" s="120"/>
      <c r="AI56" s="120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</row>
    <row r="57" ht="12.75" customHeight="1">
      <c r="A57" s="117"/>
      <c r="B57" s="118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20"/>
      <c r="AG57" s="120"/>
      <c r="AH57" s="120"/>
      <c r="AI57" s="120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</row>
    <row r="58" ht="12.75" customHeight="1">
      <c r="A58" s="121"/>
      <c r="B58" s="118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20"/>
      <c r="AG58" s="120"/>
      <c r="AH58" s="120"/>
      <c r="AI58" s="120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</row>
    <row r="59" ht="12.75" customHeight="1">
      <c r="A59" s="121"/>
      <c r="B59" s="123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20"/>
      <c r="AG59" s="120"/>
      <c r="AH59" s="120"/>
      <c r="AI59" s="120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</row>
    <row r="60" ht="12.75" customHeight="1">
      <c r="A60" s="117"/>
      <c r="B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5"/>
      <c r="AG60" s="125"/>
      <c r="AH60" s="125"/>
      <c r="AI60" s="125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ht="12.75" customHeight="1">
      <c r="A61" s="121"/>
      <c r="B61" s="118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20"/>
      <c r="AG61" s="120"/>
      <c r="AH61" s="120"/>
      <c r="AI61" s="120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</row>
    <row r="62" ht="12.75" customHeight="1">
      <c r="A62" s="121"/>
      <c r="B62" s="118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20"/>
      <c r="AG62" s="120"/>
      <c r="AH62" s="120"/>
      <c r="AI62" s="120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</row>
    <row r="63" ht="12.75" customHeight="1">
      <c r="A63" s="117"/>
      <c r="B63" s="123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5"/>
      <c r="AG63" s="125"/>
      <c r="AH63" s="125"/>
      <c r="AI63" s="125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ht="12.75" customHeight="1">
      <c r="A64" s="121"/>
      <c r="B64" s="118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20"/>
      <c r="AG64" s="120"/>
      <c r="AH64" s="120"/>
      <c r="AI64" s="120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</row>
    <row r="65" ht="12.75" customHeight="1">
      <c r="A65" s="121"/>
      <c r="B65" s="118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122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20"/>
      <c r="AG65" s="120"/>
      <c r="AH65" s="120"/>
      <c r="AI65" s="120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</row>
    <row r="66" ht="12.75" customHeight="1">
      <c r="A66" s="117"/>
      <c r="B66" s="118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5"/>
      <c r="AG66" s="125"/>
      <c r="AH66" s="125"/>
      <c r="AI66" s="125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</row>
    <row r="67" ht="12.75" customHeight="1">
      <c r="A67" s="121"/>
      <c r="B67" s="118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20"/>
      <c r="AG67" s="120"/>
      <c r="AH67" s="120"/>
      <c r="AI67" s="120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</row>
    <row r="68" ht="12.75" customHeight="1">
      <c r="A68" s="121"/>
      <c r="B68" s="118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20"/>
      <c r="AG68" s="120"/>
      <c r="AH68" s="120"/>
      <c r="AI68" s="120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</row>
    <row r="69" ht="12.75" customHeight="1">
      <c r="A69" s="117"/>
      <c r="B69" s="118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5"/>
      <c r="AG69" s="125"/>
      <c r="AH69" s="125"/>
      <c r="AI69" s="125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</row>
    <row r="70" ht="12.75" customHeight="1">
      <c r="A70" s="121"/>
      <c r="B70" s="118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20"/>
      <c r="AG70" s="120"/>
      <c r="AH70" s="120"/>
      <c r="AI70" s="120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</row>
    <row r="71" ht="12.75" customHeight="1">
      <c r="A71" s="121"/>
      <c r="B71" s="118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20"/>
      <c r="AG71" s="120"/>
      <c r="AH71" s="120"/>
      <c r="AI71" s="120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</row>
    <row r="72" ht="12.75" customHeight="1">
      <c r="A72" s="117"/>
      <c r="B72" s="118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5"/>
      <c r="AG72" s="125"/>
      <c r="AH72" s="125"/>
      <c r="AI72" s="125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</row>
    <row r="73" ht="12.75" customHeight="1">
      <c r="A73" s="121"/>
      <c r="B73" s="118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20"/>
      <c r="AG73" s="120"/>
      <c r="AH73" s="120"/>
      <c r="AI73" s="120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</row>
    <row r="74" ht="12.75" customHeight="1">
      <c r="A74" s="121"/>
      <c r="B74" s="123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20"/>
      <c r="AG74" s="120"/>
      <c r="AH74" s="120"/>
      <c r="AI74" s="120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</row>
    <row r="75" ht="12.75" customHeight="1">
      <c r="A75" s="117"/>
      <c r="B75" s="118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5"/>
      <c r="AG75" s="125"/>
      <c r="AH75" s="125"/>
      <c r="AI75" s="125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</row>
    <row r="76" ht="12.75" customHeight="1">
      <c r="A76" s="121"/>
      <c r="B76" s="118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12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20"/>
      <c r="AG76" s="120"/>
      <c r="AH76" s="120"/>
      <c r="AI76" s="120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</row>
    <row r="77" ht="12.75" customHeight="1">
      <c r="A77" s="121"/>
      <c r="B77" s="118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20"/>
      <c r="AG77" s="120"/>
      <c r="AH77" s="120"/>
      <c r="AI77" s="120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</row>
    <row r="78" ht="12.75" customHeight="1">
      <c r="A78" s="117"/>
      <c r="B78" s="123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5"/>
      <c r="AG78" s="125"/>
      <c r="AH78" s="125"/>
      <c r="AI78" s="125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</row>
    <row r="79" ht="12.75" customHeight="1">
      <c r="A79" s="121"/>
      <c r="B79" s="118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20"/>
      <c r="AG79" s="120"/>
      <c r="AH79" s="120"/>
      <c r="AI79" s="120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</row>
    <row r="80" ht="12.75" customHeight="1">
      <c r="A80" s="121"/>
      <c r="B80" s="118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20"/>
      <c r="AG80" s="120"/>
      <c r="AH80" s="120"/>
      <c r="AI80" s="120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</row>
    <row r="81" ht="12.75" customHeight="1">
      <c r="A81" s="117"/>
      <c r="B81" s="118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5"/>
      <c r="AG81" s="125"/>
      <c r="AH81" s="125"/>
      <c r="AI81" s="125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</row>
    <row r="82" ht="12.75" customHeight="1">
      <c r="A82" s="121"/>
      <c r="B82" s="118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12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20"/>
      <c r="AG82" s="120"/>
      <c r="AH82" s="120"/>
      <c r="AI82" s="120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</row>
    <row r="83" ht="12.75" customHeight="1">
      <c r="A83" s="121"/>
      <c r="B83" s="118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20"/>
      <c r="AG83" s="120"/>
      <c r="AH83" s="120"/>
      <c r="AI83" s="120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</row>
    <row r="84" ht="12.75" customHeight="1">
      <c r="A84" s="117"/>
      <c r="B84" s="118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5"/>
      <c r="AG84" s="125"/>
      <c r="AH84" s="125"/>
      <c r="AI84" s="125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</row>
    <row r="85" ht="12.75" customHeight="1">
      <c r="A85" s="121"/>
      <c r="B85" s="118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12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20"/>
      <c r="AG85" s="120"/>
      <c r="AH85" s="120"/>
      <c r="AI85" s="120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</row>
    <row r="86" ht="12.75" customHeight="1">
      <c r="A86" s="121"/>
      <c r="B86" s="118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20"/>
      <c r="AG86" s="120"/>
      <c r="AH86" s="120"/>
      <c r="AI86" s="120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  <row r="87" ht="12.75" customHeight="1">
      <c r="A87" s="117"/>
      <c r="B87" s="118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5"/>
      <c r="AG87" s="125"/>
      <c r="AH87" s="125"/>
      <c r="AI87" s="125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</row>
    <row r="88" ht="12.75" customHeight="1">
      <c r="A88" s="121"/>
      <c r="B88" s="118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20"/>
      <c r="AG88" s="120"/>
      <c r="AH88" s="120"/>
      <c r="AI88" s="120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</row>
    <row r="89" ht="12.75" customHeight="1">
      <c r="A89" s="121"/>
      <c r="B89" s="123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20"/>
      <c r="AG89" s="120"/>
      <c r="AH89" s="120"/>
      <c r="AI89" s="120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</row>
    <row r="90" ht="12.75" customHeight="1">
      <c r="A90" s="117"/>
      <c r="B90" s="118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5"/>
      <c r="AG90" s="125"/>
      <c r="AH90" s="125"/>
      <c r="AI90" s="125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</row>
    <row r="91" ht="12.75" customHeight="1">
      <c r="A91" s="121"/>
      <c r="B91" s="118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20"/>
      <c r="AG91" s="120"/>
      <c r="AH91" s="120"/>
      <c r="AI91" s="120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</row>
    <row r="92" ht="12.75" customHeight="1">
      <c r="A92" s="121"/>
      <c r="B92" s="118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20"/>
      <c r="AG92" s="120"/>
      <c r="AH92" s="120"/>
      <c r="AI92" s="120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</row>
    <row r="93" ht="12.75" customHeight="1">
      <c r="A93" s="117"/>
      <c r="B93" s="123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5"/>
      <c r="AG93" s="125"/>
      <c r="AH93" s="125"/>
      <c r="AI93" s="125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</row>
    <row r="94" ht="12.75" customHeight="1">
      <c r="A94" s="121"/>
      <c r="B94" s="118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20"/>
      <c r="AG94" s="120"/>
      <c r="AH94" s="120"/>
      <c r="AI94" s="120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</row>
    <row r="95" ht="12.75" customHeight="1">
      <c r="A95" s="121"/>
      <c r="B95" s="118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20"/>
      <c r="AG95" s="120"/>
      <c r="AH95" s="120"/>
      <c r="AI95" s="120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</row>
    <row r="96" ht="12.75" customHeight="1">
      <c r="A96" s="117"/>
      <c r="B96" s="118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5"/>
      <c r="AG96" s="125"/>
      <c r="AH96" s="125"/>
      <c r="AI96" s="125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</row>
    <row r="97" ht="12.75" customHeight="1">
      <c r="A97" s="121"/>
      <c r="B97" s="118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20"/>
      <c r="AG97" s="120"/>
      <c r="AH97" s="120"/>
      <c r="AI97" s="120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</row>
    <row r="98" ht="12.75" customHeight="1">
      <c r="A98" s="121"/>
      <c r="B98" s="118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20"/>
      <c r="AG98" s="120"/>
      <c r="AH98" s="120"/>
      <c r="AI98" s="120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</row>
    <row r="99" ht="12.75" customHeight="1">
      <c r="A99" s="117"/>
      <c r="B99" s="118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5"/>
      <c r="AG99" s="125"/>
      <c r="AH99" s="125"/>
      <c r="AI99" s="125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</row>
    <row r="100" ht="12.75" customHeight="1">
      <c r="A100" s="121"/>
      <c r="B100" s="118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20"/>
      <c r="AG100" s="120"/>
      <c r="AH100" s="120"/>
      <c r="AI100" s="120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</row>
    <row r="101" ht="12.75" customHeight="1">
      <c r="A101" s="121"/>
      <c r="B101" s="118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20"/>
      <c r="AG101" s="120"/>
      <c r="AH101" s="120"/>
      <c r="AI101" s="120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</row>
    <row r="102" ht="12.75" customHeight="1">
      <c r="A102" s="117"/>
      <c r="B102" s="118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5"/>
      <c r="AG102" s="125"/>
      <c r="AH102" s="125"/>
      <c r="AI102" s="125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</row>
    <row r="103" ht="12.75" customHeight="1">
      <c r="A103" s="121"/>
      <c r="B103" s="118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20"/>
      <c r="AG103" s="120"/>
      <c r="AH103" s="120"/>
      <c r="AI103" s="120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</row>
    <row r="104" ht="12.75" customHeight="1">
      <c r="A104" s="121"/>
      <c r="B104" s="118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20"/>
      <c r="AG104" s="120"/>
      <c r="AH104" s="120"/>
      <c r="AI104" s="120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</row>
    <row r="105" ht="12.75" customHeight="1">
      <c r="A105" s="117"/>
      <c r="B105" s="118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5"/>
      <c r="AG105" s="125"/>
      <c r="AH105" s="125"/>
      <c r="AI105" s="125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</row>
    <row r="106" ht="12.75" customHeight="1">
      <c r="A106" s="121"/>
      <c r="B106" s="118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20"/>
      <c r="AG106" s="120"/>
      <c r="AH106" s="120"/>
      <c r="AI106" s="120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</row>
    <row r="107" ht="12.75" customHeight="1">
      <c r="A107" s="121"/>
      <c r="B107" s="123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20"/>
      <c r="AG107" s="120"/>
      <c r="AH107" s="120"/>
      <c r="AI107" s="120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</row>
    <row r="108" ht="12.75" customHeight="1">
      <c r="A108" s="117"/>
      <c r="B108" s="118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5"/>
      <c r="AG108" s="125"/>
      <c r="AH108" s="125"/>
      <c r="AI108" s="125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</row>
    <row r="109" ht="12.75" customHeight="1">
      <c r="A109" s="121"/>
      <c r="B109" s="118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20"/>
      <c r="AG109" s="120"/>
      <c r="AH109" s="120"/>
      <c r="AI109" s="120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</row>
    <row r="110" ht="12.75" customHeight="1">
      <c r="A110" s="121"/>
      <c r="B110" s="118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20"/>
      <c r="AG110" s="120"/>
      <c r="AH110" s="120"/>
      <c r="AI110" s="120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</row>
    <row r="111" ht="12.75" customHeight="1">
      <c r="A111" s="117"/>
      <c r="B111" s="123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5"/>
      <c r="AG111" s="125"/>
      <c r="AH111" s="125"/>
      <c r="AI111" s="125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</row>
    <row r="112" ht="12.75" customHeight="1">
      <c r="A112" s="121"/>
      <c r="B112" s="118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20"/>
      <c r="AG112" s="120"/>
      <c r="AH112" s="120"/>
      <c r="AI112" s="120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</row>
    <row r="113" ht="12.75" customHeight="1">
      <c r="A113" s="121"/>
      <c r="B113" s="118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20"/>
      <c r="AG113" s="120"/>
      <c r="AH113" s="120"/>
      <c r="AI113" s="120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</row>
    <row r="114" ht="12.75" customHeight="1">
      <c r="A114" s="117"/>
      <c r="B114" s="118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5"/>
      <c r="AG114" s="125"/>
      <c r="AH114" s="125"/>
      <c r="AI114" s="125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</row>
    <row r="115" ht="12.75" customHeight="1">
      <c r="A115" s="117"/>
      <c r="B115" s="11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5"/>
      <c r="AG115" s="125"/>
      <c r="AH115" s="125"/>
      <c r="AI115" s="125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</row>
    <row r="116" ht="10.5" customHeight="1">
      <c r="A116" s="127"/>
      <c r="B116" s="11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</row>
    <row r="117" ht="12.75" customHeight="1">
      <c r="A117" s="129"/>
      <c r="B117" s="123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20"/>
      <c r="AG117" s="120"/>
      <c r="AH117" s="120"/>
      <c r="AI117" s="120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</row>
    <row r="118" ht="12.75" customHeight="1">
      <c r="A118" s="129"/>
      <c r="B118" s="123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20"/>
      <c r="AG118" s="120"/>
      <c r="AH118" s="120"/>
      <c r="AI118" s="120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</row>
    <row r="119" ht="10.5" customHeight="1">
      <c r="A119" s="130"/>
      <c r="B119" s="123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</row>
    <row r="120" ht="10.5" customHeight="1">
      <c r="A120" s="129"/>
      <c r="B120" s="123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</row>
    <row r="121" ht="10.5" customHeight="1">
      <c r="A121" s="121"/>
      <c r="B121" s="118"/>
      <c r="C121" s="132"/>
      <c r="D121" s="4"/>
      <c r="E121" s="4"/>
      <c r="F121" s="4"/>
      <c r="G121" s="4"/>
      <c r="H121" s="4"/>
      <c r="I121" s="4"/>
      <c r="J121" s="4"/>
      <c r="K121" s="4"/>
      <c r="L121" s="2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</row>
    <row r="122" ht="10.5" customHeight="1">
      <c r="A122" s="127"/>
      <c r="B122" s="118"/>
      <c r="C122" s="133"/>
      <c r="D122" s="134"/>
      <c r="E122" s="134"/>
      <c r="F122" s="134"/>
      <c r="G122" s="134"/>
      <c r="H122" s="134"/>
      <c r="I122" s="134"/>
      <c r="J122" s="134"/>
      <c r="K122" s="134"/>
      <c r="L122" s="135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</row>
    <row r="123" ht="10.5" customHeight="1">
      <c r="A123" s="121"/>
      <c r="B123" s="118"/>
      <c r="C123" s="136"/>
      <c r="D123" s="136"/>
      <c r="E123" s="137"/>
      <c r="F123" s="136"/>
      <c r="G123" s="136"/>
      <c r="H123" s="136"/>
      <c r="I123" s="136"/>
      <c r="J123" s="136"/>
      <c r="K123" s="136"/>
      <c r="L123" s="13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</row>
    <row r="124" ht="10.5" customHeight="1">
      <c r="A124" s="121"/>
      <c r="B124" s="118"/>
      <c r="C124" s="137"/>
      <c r="D124" s="128"/>
      <c r="E124" s="128"/>
      <c r="F124" s="128"/>
      <c r="G124" s="137"/>
      <c r="H124" s="137"/>
      <c r="I124" s="12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</row>
    <row r="125" ht="10.5" customHeight="1">
      <c r="A125" s="121"/>
      <c r="B125" s="118"/>
      <c r="C125" s="137"/>
      <c r="D125" s="128"/>
      <c r="E125" s="128"/>
      <c r="F125" s="128"/>
      <c r="G125" s="9"/>
      <c r="H125" s="128"/>
      <c r="I125" s="12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</row>
    <row r="126" ht="10.5" customHeight="1">
      <c r="A126" s="127"/>
      <c r="B126" s="118"/>
      <c r="C126" s="9"/>
      <c r="D126" s="128"/>
      <c r="E126" s="128"/>
      <c r="F126" s="128"/>
      <c r="G126" s="9"/>
      <c r="H126" s="128"/>
      <c r="I126" s="12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</row>
    <row r="127" ht="10.5" customHeight="1">
      <c r="A127" s="127"/>
      <c r="B127" s="118"/>
      <c r="C127" s="138"/>
      <c r="D127" s="138"/>
      <c r="E127" s="137"/>
      <c r="F127" s="138"/>
      <c r="G127" s="138"/>
      <c r="H127" s="138"/>
      <c r="I127" s="138"/>
      <c r="J127" s="138"/>
      <c r="K127" s="138"/>
      <c r="L127" s="13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</row>
    <row r="128" ht="10.5" customHeight="1">
      <c r="A128" s="127"/>
      <c r="B128" s="11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</row>
    <row r="129" ht="10.5" customHeight="1">
      <c r="A129" s="127"/>
      <c r="B129" s="118"/>
      <c r="C129" s="9"/>
      <c r="D129" s="128"/>
      <c r="E129" s="128"/>
      <c r="F129" s="128"/>
      <c r="G129" s="9"/>
      <c r="H129" s="128"/>
      <c r="I129" s="12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</row>
    <row r="130" ht="10.5" customHeight="1">
      <c r="A130" s="127"/>
      <c r="B130" s="118"/>
      <c r="C130" s="9"/>
      <c r="D130" s="128"/>
      <c r="E130" s="137"/>
      <c r="F130" s="128"/>
      <c r="G130" s="9"/>
      <c r="H130" s="128"/>
      <c r="I130" s="128"/>
      <c r="J130" s="13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</row>
    <row r="131" ht="10.5" customHeight="1">
      <c r="A131" s="127"/>
      <c r="B131" s="118"/>
      <c r="C131" s="9"/>
      <c r="D131" s="128"/>
      <c r="E131" s="9"/>
      <c r="F131" s="128"/>
      <c r="G131" s="9"/>
      <c r="H131" s="128"/>
      <c r="I131" s="12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</row>
    <row r="132" ht="10.5" customHeight="1">
      <c r="A132" s="127"/>
      <c r="B132" s="118"/>
      <c r="C132" s="9"/>
      <c r="D132" s="128"/>
      <c r="E132" s="9"/>
      <c r="F132" s="128"/>
      <c r="G132" s="9"/>
      <c r="H132" s="128"/>
      <c r="I132" s="12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</row>
    <row r="133" ht="10.5" customHeight="1">
      <c r="A133" s="127"/>
      <c r="B133" s="118"/>
      <c r="C133" s="137"/>
      <c r="D133" s="128"/>
      <c r="E133" s="9"/>
      <c r="F133" s="128"/>
      <c r="G133" s="9"/>
      <c r="H133" s="128"/>
      <c r="I133" s="12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</row>
    <row r="134" ht="10.5" customHeight="1">
      <c r="A134" s="127"/>
      <c r="B134" s="118"/>
      <c r="C134" s="9"/>
      <c r="D134" s="128"/>
      <c r="E134" s="9"/>
      <c r="F134" s="128"/>
      <c r="G134" s="9"/>
      <c r="H134" s="128"/>
      <c r="I134" s="12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</row>
    <row r="135" ht="10.5" customHeight="1">
      <c r="A135" s="127"/>
      <c r="B135" s="118"/>
      <c r="C135" s="9"/>
      <c r="D135" s="128"/>
      <c r="E135" s="9"/>
      <c r="F135" s="128"/>
      <c r="G135" s="9"/>
      <c r="H135" s="128"/>
      <c r="I135" s="12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</row>
    <row r="136" ht="10.5" customHeight="1">
      <c r="A136" s="127"/>
      <c r="B136" s="118"/>
      <c r="C136" s="9"/>
      <c r="D136" s="128"/>
      <c r="E136" s="9"/>
      <c r="F136" s="128"/>
      <c r="G136" s="9"/>
      <c r="H136" s="128"/>
      <c r="I136" s="12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</row>
    <row r="137" ht="10.5" customHeight="1">
      <c r="A137" s="127"/>
      <c r="B137" s="118"/>
      <c r="C137" s="9"/>
      <c r="D137" s="128"/>
      <c r="E137" s="128"/>
      <c r="F137" s="128"/>
      <c r="G137" s="9"/>
      <c r="H137" s="128"/>
      <c r="I137" s="12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</row>
    <row r="138" ht="10.5" customHeight="1">
      <c r="A138" s="127"/>
      <c r="B138" s="118"/>
      <c r="C138" s="9"/>
      <c r="D138" s="128"/>
      <c r="E138" s="128"/>
      <c r="F138" s="128"/>
      <c r="G138" s="9"/>
      <c r="H138" s="128"/>
      <c r="I138" s="12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</row>
    <row r="139" ht="10.5" customHeight="1">
      <c r="A139" s="127"/>
      <c r="B139" s="118"/>
      <c r="C139" s="9"/>
      <c r="D139" s="128"/>
      <c r="E139" s="128"/>
      <c r="F139" s="128"/>
      <c r="G139" s="9"/>
      <c r="H139" s="128"/>
      <c r="I139" s="12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</row>
    <row r="140" ht="10.5" customHeight="1">
      <c r="A140" s="127"/>
      <c r="B140" s="118"/>
      <c r="C140" s="9"/>
      <c r="D140" s="128"/>
      <c r="E140" s="128"/>
      <c r="F140" s="128"/>
      <c r="G140" s="9"/>
      <c r="H140" s="128"/>
      <c r="I140" s="12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</row>
    <row r="141" ht="10.5" customHeight="1">
      <c r="A141" s="127"/>
      <c r="B141" s="118"/>
      <c r="C141" s="9"/>
      <c r="D141" s="128"/>
      <c r="E141" s="128"/>
      <c r="F141" s="128"/>
      <c r="G141" s="9"/>
      <c r="H141" s="128"/>
      <c r="I141" s="12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</row>
    <row r="142" ht="10.5" customHeight="1">
      <c r="A142" s="127"/>
      <c r="B142" s="118"/>
      <c r="C142" s="9"/>
      <c r="D142" s="128"/>
      <c r="E142" s="128"/>
      <c r="F142" s="128"/>
      <c r="G142" s="9"/>
      <c r="H142" s="128"/>
      <c r="I142" s="12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</row>
    <row r="143" ht="10.5" customHeight="1">
      <c r="A143" s="127"/>
      <c r="B143" s="118"/>
      <c r="C143" s="9"/>
      <c r="D143" s="128"/>
      <c r="E143" s="128"/>
      <c r="F143" s="128"/>
      <c r="G143" s="9"/>
      <c r="H143" s="128"/>
      <c r="I143" s="12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</row>
    <row r="144" ht="10.5" customHeight="1">
      <c r="A144" s="127"/>
      <c r="B144" s="118"/>
      <c r="C144" s="128"/>
      <c r="D144" s="128"/>
      <c r="E144" s="128"/>
      <c r="F144" s="128"/>
      <c r="G144" s="9"/>
      <c r="H144" s="128"/>
      <c r="I144" s="12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</row>
    <row r="145" ht="10.5" customHeight="1">
      <c r="A145" s="127"/>
      <c r="B145" s="118"/>
      <c r="C145" s="128"/>
      <c r="D145" s="128"/>
      <c r="E145" s="128"/>
      <c r="F145" s="128"/>
      <c r="G145" s="9"/>
      <c r="H145" s="128"/>
      <c r="I145" s="12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</row>
    <row r="146" ht="10.5" customHeight="1">
      <c r="A146" s="127"/>
      <c r="B146" s="118"/>
      <c r="C146" s="128"/>
      <c r="D146" s="128"/>
      <c r="E146" s="128"/>
      <c r="F146" s="128"/>
      <c r="G146" s="9"/>
      <c r="H146" s="128"/>
      <c r="I146" s="12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</row>
    <row r="147" ht="10.5" customHeight="1">
      <c r="A147" s="127"/>
      <c r="B147" s="118"/>
      <c r="C147" s="128"/>
      <c r="D147" s="128"/>
      <c r="E147" s="128"/>
      <c r="F147" s="128"/>
      <c r="G147" s="9"/>
      <c r="H147" s="128"/>
      <c r="I147" s="12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</row>
    <row r="148" ht="10.5" customHeight="1">
      <c r="A148" s="127"/>
      <c r="B148" s="118"/>
      <c r="C148" s="128"/>
      <c r="D148" s="128"/>
      <c r="E148" s="128"/>
      <c r="F148" s="128"/>
      <c r="G148" s="9"/>
      <c r="H148" s="128"/>
      <c r="I148" s="12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</row>
    <row r="149" ht="10.5" customHeight="1">
      <c r="A149" s="127"/>
      <c r="B149" s="118"/>
      <c r="C149" s="128"/>
      <c r="D149" s="128"/>
      <c r="E149" s="128"/>
      <c r="F149" s="128"/>
      <c r="G149" s="128"/>
      <c r="H149" s="128"/>
      <c r="I149" s="12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</row>
    <row r="150" ht="10.5" customHeight="1">
      <c r="A150" s="127"/>
      <c r="B150" s="118"/>
      <c r="C150" s="128"/>
      <c r="D150" s="128"/>
      <c r="E150" s="128"/>
      <c r="F150" s="128"/>
      <c r="G150" s="128"/>
      <c r="H150" s="128"/>
      <c r="I150" s="12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</row>
    <row r="151" ht="10.5" customHeight="1">
      <c r="A151" s="127"/>
      <c r="B151" s="118"/>
      <c r="C151" s="128"/>
      <c r="D151" s="128"/>
      <c r="E151" s="128"/>
      <c r="F151" s="128"/>
      <c r="G151" s="128"/>
      <c r="H151" s="128"/>
      <c r="I151" s="12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</row>
    <row r="152" ht="10.5" customHeight="1">
      <c r="A152" s="127"/>
      <c r="B152" s="118"/>
      <c r="C152" s="128"/>
      <c r="D152" s="128"/>
      <c r="E152" s="128"/>
      <c r="F152" s="128"/>
      <c r="G152" s="128"/>
      <c r="H152" s="128"/>
      <c r="I152" s="12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</row>
    <row r="153" ht="10.5" customHeight="1">
      <c r="A153" s="127"/>
      <c r="B153" s="118"/>
      <c r="C153" s="128"/>
      <c r="D153" s="128"/>
      <c r="E153" s="128"/>
      <c r="F153" s="128"/>
      <c r="G153" s="128"/>
      <c r="H153" s="128"/>
      <c r="I153" s="12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</row>
    <row r="154" ht="10.5" customHeight="1">
      <c r="A154" s="127"/>
      <c r="B154" s="118"/>
      <c r="C154" s="128"/>
      <c r="D154" s="128"/>
      <c r="E154" s="128"/>
      <c r="F154" s="128"/>
      <c r="G154" s="128"/>
      <c r="H154" s="128"/>
      <c r="I154" s="12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</row>
    <row r="155" ht="10.5" customHeight="1">
      <c r="A155" s="127"/>
      <c r="B155" s="118"/>
      <c r="C155" s="128"/>
      <c r="D155" s="128"/>
      <c r="E155" s="128"/>
      <c r="F155" s="128"/>
      <c r="G155" s="128"/>
      <c r="H155" s="128"/>
      <c r="I155" s="12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</row>
    <row r="156" ht="10.5" customHeight="1">
      <c r="A156" s="127"/>
      <c r="B156" s="118"/>
      <c r="C156" s="128"/>
      <c r="D156" s="128"/>
      <c r="E156" s="128"/>
      <c r="F156" s="128"/>
      <c r="G156" s="128"/>
      <c r="H156" s="128"/>
      <c r="I156" s="12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</row>
    <row r="157" ht="10.5" customHeight="1">
      <c r="A157" s="127"/>
      <c r="B157" s="118"/>
      <c r="C157" s="128"/>
      <c r="D157" s="128"/>
      <c r="E157" s="128"/>
      <c r="F157" s="128"/>
      <c r="G157" s="128"/>
      <c r="H157" s="128"/>
      <c r="I157" s="12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</row>
    <row r="158" ht="10.5" customHeight="1">
      <c r="A158" s="127"/>
      <c r="B158" s="118"/>
      <c r="C158" s="128"/>
      <c r="D158" s="128"/>
      <c r="E158" s="128"/>
      <c r="F158" s="128"/>
      <c r="G158" s="128"/>
      <c r="H158" s="128"/>
      <c r="I158" s="12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</row>
    <row r="159" ht="10.5" customHeight="1">
      <c r="A159" s="127"/>
      <c r="B159" s="118"/>
      <c r="C159" s="128"/>
      <c r="D159" s="128"/>
      <c r="E159" s="128"/>
      <c r="F159" s="128"/>
      <c r="G159" s="128"/>
      <c r="H159" s="128"/>
      <c r="I159" s="12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</row>
    <row r="160" ht="10.5" customHeight="1">
      <c r="A160" s="127"/>
      <c r="B160" s="118"/>
      <c r="C160" s="128"/>
      <c r="D160" s="128"/>
      <c r="E160" s="128"/>
      <c r="F160" s="128"/>
      <c r="G160" s="128"/>
      <c r="H160" s="128"/>
      <c r="I160" s="12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</row>
    <row r="161" ht="10.5" customHeight="1">
      <c r="A161" s="127"/>
      <c r="B161" s="118"/>
      <c r="C161" s="128"/>
      <c r="D161" s="128"/>
      <c r="E161" s="128"/>
      <c r="F161" s="128"/>
      <c r="G161" s="128"/>
      <c r="H161" s="128"/>
      <c r="I161" s="12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</row>
    <row r="162" ht="10.5" customHeight="1">
      <c r="A162" s="127"/>
      <c r="B162" s="118"/>
      <c r="C162" s="128"/>
      <c r="D162" s="128"/>
      <c r="E162" s="128"/>
      <c r="F162" s="128"/>
      <c r="G162" s="128"/>
      <c r="H162" s="128"/>
      <c r="I162" s="12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</row>
    <row r="163" ht="10.5" customHeight="1">
      <c r="A163" s="127"/>
      <c r="B163" s="118"/>
      <c r="C163" s="128"/>
      <c r="D163" s="128"/>
      <c r="E163" s="128"/>
      <c r="F163" s="128"/>
      <c r="G163" s="128"/>
      <c r="H163" s="128"/>
      <c r="I163" s="12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</row>
    <row r="164" ht="10.5" customHeight="1">
      <c r="A164" s="127"/>
      <c r="B164" s="118"/>
      <c r="C164" s="128"/>
      <c r="D164" s="128"/>
      <c r="E164" s="128"/>
      <c r="F164" s="128"/>
      <c r="G164" s="128"/>
      <c r="H164" s="128"/>
      <c r="I164" s="12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</row>
    <row r="165" ht="10.5" customHeight="1">
      <c r="A165" s="127"/>
      <c r="B165" s="118"/>
      <c r="C165" s="128"/>
      <c r="D165" s="128"/>
      <c r="E165" s="128"/>
      <c r="F165" s="128"/>
      <c r="G165" s="128"/>
      <c r="H165" s="128"/>
      <c r="I165" s="12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</row>
    <row r="166" ht="10.5" customHeight="1">
      <c r="A166" s="127"/>
      <c r="B166" s="118"/>
      <c r="C166" s="128"/>
      <c r="D166" s="128"/>
      <c r="E166" s="128"/>
      <c r="F166" s="128"/>
      <c r="G166" s="128"/>
      <c r="H166" s="128"/>
      <c r="I166" s="12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</row>
    <row r="167" ht="10.5" customHeight="1">
      <c r="A167" s="127"/>
      <c r="B167" s="118"/>
      <c r="C167" s="128"/>
      <c r="D167" s="128"/>
      <c r="E167" s="128"/>
      <c r="F167" s="128"/>
      <c r="G167" s="128"/>
      <c r="H167" s="128"/>
      <c r="I167" s="12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</row>
    <row r="168" ht="10.5" customHeight="1">
      <c r="A168" s="127"/>
      <c r="B168" s="118"/>
      <c r="C168" s="128"/>
      <c r="D168" s="128"/>
      <c r="E168" s="128"/>
      <c r="F168" s="128"/>
      <c r="G168" s="128"/>
      <c r="H168" s="128"/>
      <c r="I168" s="12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</row>
    <row r="169" ht="10.5" customHeight="1">
      <c r="A169" s="127"/>
      <c r="B169" s="118"/>
      <c r="C169" s="128"/>
      <c r="D169" s="128"/>
      <c r="E169" s="128"/>
      <c r="F169" s="128"/>
      <c r="G169" s="128"/>
      <c r="H169" s="128"/>
      <c r="I169" s="12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</row>
    <row r="170" ht="10.5" customHeight="1">
      <c r="A170" s="127"/>
      <c r="B170" s="118"/>
      <c r="C170" s="128"/>
      <c r="D170" s="128"/>
      <c r="E170" s="128"/>
      <c r="F170" s="128"/>
      <c r="G170" s="128"/>
      <c r="H170" s="128"/>
      <c r="I170" s="12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</row>
    <row r="171" ht="10.5" customHeight="1">
      <c r="A171" s="127"/>
      <c r="B171" s="118"/>
      <c r="C171" s="128"/>
      <c r="D171" s="128"/>
      <c r="E171" s="128"/>
      <c r="F171" s="128"/>
      <c r="G171" s="128"/>
      <c r="H171" s="128"/>
      <c r="I171" s="12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</row>
    <row r="172" ht="10.5" customHeight="1">
      <c r="A172" s="127"/>
      <c r="B172" s="118"/>
      <c r="C172" s="128"/>
      <c r="D172" s="128"/>
      <c r="E172" s="128"/>
      <c r="F172" s="128"/>
      <c r="G172" s="128"/>
      <c r="H172" s="128"/>
      <c r="I172" s="12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</row>
    <row r="173" ht="10.5" customHeight="1">
      <c r="A173" s="127"/>
      <c r="B173" s="118"/>
      <c r="C173" s="128"/>
      <c r="D173" s="128"/>
      <c r="E173" s="128"/>
      <c r="F173" s="128"/>
      <c r="G173" s="128"/>
      <c r="H173" s="128"/>
      <c r="I173" s="12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</row>
    <row r="174" ht="10.5" customHeight="1">
      <c r="A174" s="127"/>
      <c r="B174" s="118"/>
      <c r="C174" s="128"/>
      <c r="D174" s="128"/>
      <c r="E174" s="128"/>
      <c r="F174" s="128"/>
      <c r="G174" s="128"/>
      <c r="H174" s="128"/>
      <c r="I174" s="12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</row>
    <row r="175" ht="10.5" customHeight="1">
      <c r="A175" s="127"/>
      <c r="B175" s="118"/>
      <c r="C175" s="128"/>
      <c r="D175" s="128"/>
      <c r="E175" s="128"/>
      <c r="F175" s="128"/>
      <c r="G175" s="128"/>
      <c r="H175" s="128"/>
      <c r="I175" s="12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</row>
    <row r="176" ht="10.5" customHeight="1">
      <c r="A176" s="127"/>
      <c r="B176" s="118"/>
      <c r="C176" s="128"/>
      <c r="D176" s="128"/>
      <c r="E176" s="128"/>
      <c r="F176" s="128"/>
      <c r="G176" s="128"/>
      <c r="H176" s="128"/>
      <c r="I176" s="12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</row>
    <row r="177" ht="10.5" customHeight="1">
      <c r="A177" s="127"/>
      <c r="B177" s="118"/>
      <c r="C177" s="128"/>
      <c r="D177" s="128"/>
      <c r="E177" s="128"/>
      <c r="F177" s="128"/>
      <c r="G177" s="128"/>
      <c r="H177" s="128"/>
      <c r="I177" s="12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</row>
    <row r="178" ht="10.5" customHeight="1">
      <c r="A178" s="127"/>
      <c r="B178" s="118"/>
      <c r="C178" s="128"/>
      <c r="D178" s="128"/>
      <c r="E178" s="128"/>
      <c r="F178" s="128"/>
      <c r="G178" s="128"/>
      <c r="H178" s="128"/>
      <c r="I178" s="12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</row>
    <row r="179" ht="10.5" customHeight="1">
      <c r="A179" s="127"/>
      <c r="B179" s="118"/>
      <c r="C179" s="128"/>
      <c r="D179" s="128"/>
      <c r="E179" s="128"/>
      <c r="F179" s="128"/>
      <c r="G179" s="128"/>
      <c r="H179" s="128"/>
      <c r="I179" s="12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</row>
    <row r="180" ht="10.5" customHeight="1">
      <c r="A180" s="127"/>
      <c r="B180" s="118"/>
      <c r="C180" s="128"/>
      <c r="D180" s="128"/>
      <c r="E180" s="128"/>
      <c r="F180" s="128"/>
      <c r="G180" s="128"/>
      <c r="H180" s="128"/>
      <c r="I180" s="12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</row>
    <row r="181" ht="10.5" customHeight="1">
      <c r="A181" s="127"/>
      <c r="B181" s="118"/>
      <c r="C181" s="128"/>
      <c r="D181" s="128"/>
      <c r="E181" s="128"/>
      <c r="F181" s="128"/>
      <c r="G181" s="128"/>
      <c r="H181" s="128"/>
      <c r="I181" s="12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</row>
    <row r="182" ht="10.5" customHeight="1">
      <c r="A182" s="127"/>
      <c r="B182" s="118"/>
      <c r="C182" s="128"/>
      <c r="D182" s="128"/>
      <c r="E182" s="128"/>
      <c r="F182" s="128"/>
      <c r="G182" s="128"/>
      <c r="H182" s="128"/>
      <c r="I182" s="12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</row>
    <row r="183" ht="10.5" customHeight="1">
      <c r="A183" s="127"/>
      <c r="B183" s="118"/>
      <c r="C183" s="128"/>
      <c r="D183" s="128"/>
      <c r="E183" s="128"/>
      <c r="F183" s="128"/>
      <c r="G183" s="128"/>
      <c r="H183" s="128"/>
      <c r="I183" s="12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</row>
    <row r="184" ht="10.5" customHeight="1">
      <c r="A184" s="127"/>
      <c r="B184" s="118"/>
      <c r="C184" s="128"/>
      <c r="D184" s="128"/>
      <c r="E184" s="128"/>
      <c r="F184" s="128"/>
      <c r="G184" s="128"/>
      <c r="H184" s="128"/>
      <c r="I184" s="12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</row>
    <row r="185" ht="10.5" customHeight="1">
      <c r="A185" s="127"/>
      <c r="B185" s="118"/>
      <c r="C185" s="128"/>
      <c r="D185" s="128"/>
      <c r="E185" s="128"/>
      <c r="F185" s="128"/>
      <c r="G185" s="128"/>
      <c r="H185" s="128"/>
      <c r="I185" s="12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</row>
    <row r="186" ht="10.5" customHeight="1">
      <c r="A186" s="127"/>
      <c r="B186" s="118"/>
      <c r="C186" s="128"/>
      <c r="D186" s="128"/>
      <c r="E186" s="128"/>
      <c r="F186" s="128"/>
      <c r="G186" s="128"/>
      <c r="H186" s="128"/>
      <c r="I186" s="12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</row>
    <row r="187" ht="10.5" customHeight="1">
      <c r="A187" s="127"/>
      <c r="B187" s="118"/>
      <c r="C187" s="128"/>
      <c r="D187" s="128"/>
      <c r="E187" s="128"/>
      <c r="F187" s="128"/>
      <c r="G187" s="128"/>
      <c r="H187" s="128"/>
      <c r="I187" s="12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</row>
    <row r="188" ht="10.5" customHeight="1">
      <c r="A188" s="127"/>
      <c r="B188" s="118"/>
      <c r="C188" s="128"/>
      <c r="D188" s="128"/>
      <c r="E188" s="128"/>
      <c r="F188" s="128"/>
      <c r="G188" s="128"/>
      <c r="H188" s="128"/>
      <c r="I188" s="12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</row>
    <row r="189" ht="10.5" customHeight="1">
      <c r="A189" s="127"/>
      <c r="B189" s="118"/>
      <c r="C189" s="128"/>
      <c r="D189" s="128"/>
      <c r="E189" s="128"/>
      <c r="F189" s="128"/>
      <c r="G189" s="128"/>
      <c r="H189" s="128"/>
      <c r="I189" s="12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</row>
    <row r="190" ht="10.5" customHeight="1">
      <c r="A190" s="127"/>
      <c r="B190" s="118"/>
      <c r="C190" s="128"/>
      <c r="D190" s="128"/>
      <c r="E190" s="128"/>
      <c r="F190" s="128"/>
      <c r="G190" s="128"/>
      <c r="H190" s="128"/>
      <c r="I190" s="12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</row>
    <row r="191" ht="10.5" customHeight="1">
      <c r="A191" s="127"/>
      <c r="B191" s="118"/>
      <c r="C191" s="128"/>
      <c r="D191" s="128"/>
      <c r="E191" s="128"/>
      <c r="F191" s="128"/>
      <c r="G191" s="128"/>
      <c r="H191" s="128"/>
      <c r="I191" s="12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</row>
    <row r="192" ht="10.5" customHeight="1">
      <c r="A192" s="127"/>
      <c r="B192" s="118"/>
      <c r="C192" s="128"/>
      <c r="D192" s="128"/>
      <c r="E192" s="128"/>
      <c r="F192" s="128"/>
      <c r="G192" s="128"/>
      <c r="H192" s="128"/>
      <c r="I192" s="12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</row>
    <row r="193" ht="10.5" customHeight="1">
      <c r="A193" s="127"/>
      <c r="B193" s="118"/>
      <c r="C193" s="128"/>
      <c r="D193" s="128"/>
      <c r="E193" s="128"/>
      <c r="F193" s="128"/>
      <c r="G193" s="128"/>
      <c r="H193" s="128"/>
      <c r="I193" s="12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</row>
    <row r="194" ht="10.5" customHeight="1">
      <c r="A194" s="127"/>
      <c r="B194" s="118"/>
      <c r="C194" s="128"/>
      <c r="D194" s="128"/>
      <c r="E194" s="128"/>
      <c r="F194" s="128"/>
      <c r="G194" s="128"/>
      <c r="H194" s="128"/>
      <c r="I194" s="12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</row>
    <row r="195" ht="10.5" customHeight="1">
      <c r="A195" s="127"/>
      <c r="B195" s="118"/>
      <c r="C195" s="128"/>
      <c r="D195" s="128"/>
      <c r="E195" s="128"/>
      <c r="F195" s="128"/>
      <c r="G195" s="128"/>
      <c r="H195" s="128"/>
      <c r="I195" s="12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</row>
    <row r="196" ht="10.5" customHeight="1">
      <c r="A196" s="127"/>
      <c r="B196" s="118"/>
      <c r="C196" s="128"/>
      <c r="D196" s="128"/>
      <c r="E196" s="128"/>
      <c r="F196" s="128"/>
      <c r="G196" s="128"/>
      <c r="H196" s="128"/>
      <c r="I196" s="12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</row>
    <row r="197" ht="10.5" customHeight="1">
      <c r="A197" s="127"/>
      <c r="B197" s="118"/>
      <c r="C197" s="128"/>
      <c r="D197" s="128"/>
      <c r="E197" s="128"/>
      <c r="F197" s="128"/>
      <c r="G197" s="128"/>
      <c r="H197" s="128"/>
      <c r="I197" s="12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</row>
    <row r="198" ht="10.5" customHeight="1">
      <c r="A198" s="127"/>
      <c r="B198" s="118"/>
      <c r="C198" s="128"/>
      <c r="D198" s="128"/>
      <c r="E198" s="128"/>
      <c r="F198" s="128"/>
      <c r="G198" s="128"/>
      <c r="H198" s="128"/>
      <c r="I198" s="12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</row>
    <row r="199" ht="10.5" customHeight="1">
      <c r="A199" s="127"/>
      <c r="B199" s="118"/>
      <c r="C199" s="128"/>
      <c r="D199" s="128"/>
      <c r="E199" s="128"/>
      <c r="F199" s="128"/>
      <c r="G199" s="128"/>
      <c r="H199" s="128"/>
      <c r="I199" s="12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</row>
    <row r="200" ht="10.5" customHeight="1">
      <c r="A200" s="127"/>
      <c r="B200" s="118"/>
      <c r="C200" s="128"/>
      <c r="D200" s="128"/>
      <c r="E200" s="128"/>
      <c r="F200" s="128"/>
      <c r="G200" s="128"/>
      <c r="H200" s="128"/>
      <c r="I200" s="12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</row>
    <row r="201" ht="10.5" customHeight="1">
      <c r="A201" s="127"/>
      <c r="B201" s="118"/>
      <c r="C201" s="128"/>
      <c r="D201" s="128"/>
      <c r="E201" s="128"/>
      <c r="F201" s="128"/>
      <c r="G201" s="128"/>
      <c r="H201" s="128"/>
      <c r="I201" s="12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</row>
    <row r="202" ht="10.5" customHeight="1">
      <c r="A202" s="127"/>
      <c r="B202" s="118"/>
      <c r="C202" s="128"/>
      <c r="D202" s="128"/>
      <c r="E202" s="128"/>
      <c r="F202" s="128"/>
      <c r="G202" s="128"/>
      <c r="H202" s="128"/>
      <c r="I202" s="12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</row>
    <row r="203" ht="10.5" customHeight="1">
      <c r="A203" s="127"/>
      <c r="B203" s="118"/>
      <c r="C203" s="128"/>
      <c r="D203" s="128"/>
      <c r="E203" s="128"/>
      <c r="F203" s="128"/>
      <c r="G203" s="128"/>
      <c r="H203" s="128"/>
      <c r="I203" s="12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</row>
    <row r="204" ht="10.5" customHeight="1">
      <c r="A204" s="127"/>
      <c r="B204" s="118"/>
      <c r="C204" s="128"/>
      <c r="D204" s="128"/>
      <c r="E204" s="128"/>
      <c r="F204" s="128"/>
      <c r="G204" s="128"/>
      <c r="H204" s="128"/>
      <c r="I204" s="12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</row>
    <row r="205" ht="10.5" customHeight="1">
      <c r="A205" s="127"/>
      <c r="B205" s="118"/>
      <c r="C205" s="128"/>
      <c r="D205" s="128"/>
      <c r="E205" s="128"/>
      <c r="F205" s="128"/>
      <c r="G205" s="128"/>
      <c r="H205" s="128"/>
      <c r="I205" s="12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</row>
    <row r="206" ht="10.5" customHeight="1">
      <c r="A206" s="127"/>
      <c r="B206" s="118"/>
      <c r="C206" s="128"/>
      <c r="D206" s="128"/>
      <c r="E206" s="128"/>
      <c r="F206" s="128"/>
      <c r="G206" s="128"/>
      <c r="H206" s="128"/>
      <c r="I206" s="12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</row>
    <row r="207" ht="10.5" customHeight="1">
      <c r="A207" s="127"/>
      <c r="B207" s="118"/>
      <c r="C207" s="128"/>
      <c r="D207" s="128"/>
      <c r="E207" s="128"/>
      <c r="F207" s="128"/>
      <c r="G207" s="128"/>
      <c r="H207" s="128"/>
      <c r="I207" s="12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</row>
    <row r="208" ht="10.5" customHeight="1">
      <c r="A208" s="127"/>
      <c r="B208" s="118"/>
      <c r="C208" s="128"/>
      <c r="D208" s="128"/>
      <c r="E208" s="128"/>
      <c r="F208" s="128"/>
      <c r="G208" s="128"/>
      <c r="H208" s="128"/>
      <c r="I208" s="12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</row>
    <row r="209" ht="10.5" customHeight="1">
      <c r="A209" s="127"/>
      <c r="B209" s="118"/>
      <c r="C209" s="128"/>
      <c r="D209" s="128"/>
      <c r="E209" s="128"/>
      <c r="F209" s="128"/>
      <c r="G209" s="128"/>
      <c r="H209" s="128"/>
      <c r="I209" s="12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</row>
    <row r="210" ht="10.5" customHeight="1">
      <c r="A210" s="127"/>
      <c r="B210" s="118"/>
      <c r="C210" s="128"/>
      <c r="D210" s="128"/>
      <c r="E210" s="128"/>
      <c r="F210" s="128"/>
      <c r="G210" s="128"/>
      <c r="H210" s="128"/>
      <c r="I210" s="12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</row>
    <row r="211" ht="10.5" customHeight="1">
      <c r="A211" s="127"/>
      <c r="B211" s="118"/>
      <c r="C211" s="128"/>
      <c r="D211" s="128"/>
      <c r="E211" s="128"/>
      <c r="F211" s="128"/>
      <c r="G211" s="128"/>
      <c r="H211" s="128"/>
      <c r="I211" s="12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</row>
    <row r="212" ht="10.5" customHeight="1">
      <c r="A212" s="127"/>
      <c r="B212" s="118"/>
      <c r="C212" s="128"/>
      <c r="D212" s="128"/>
      <c r="E212" s="128"/>
      <c r="F212" s="128"/>
      <c r="G212" s="128"/>
      <c r="H212" s="128"/>
      <c r="I212" s="12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</row>
    <row r="213" ht="10.5" customHeight="1">
      <c r="A213" s="127"/>
      <c r="B213" s="118"/>
      <c r="C213" s="128"/>
      <c r="D213" s="128"/>
      <c r="E213" s="128"/>
      <c r="F213" s="128"/>
      <c r="G213" s="128"/>
      <c r="H213" s="128"/>
      <c r="I213" s="12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</row>
    <row r="214" ht="10.5" customHeight="1">
      <c r="A214" s="127"/>
      <c r="B214" s="118"/>
      <c r="C214" s="128"/>
      <c r="D214" s="128"/>
      <c r="E214" s="128"/>
      <c r="F214" s="128"/>
      <c r="G214" s="128"/>
      <c r="H214" s="128"/>
      <c r="I214" s="12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</row>
    <row r="215" ht="10.5" customHeight="1">
      <c r="A215" s="127"/>
      <c r="B215" s="118"/>
      <c r="C215" s="128"/>
      <c r="D215" s="128"/>
      <c r="E215" s="128"/>
      <c r="F215" s="128"/>
      <c r="G215" s="128"/>
      <c r="H215" s="128"/>
      <c r="I215" s="12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</row>
    <row r="216" ht="10.5" customHeight="1">
      <c r="A216" s="127"/>
      <c r="B216" s="118"/>
      <c r="C216" s="128"/>
      <c r="D216" s="128"/>
      <c r="E216" s="128"/>
      <c r="F216" s="128"/>
      <c r="G216" s="128"/>
      <c r="H216" s="128"/>
      <c r="I216" s="12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</row>
    <row r="217" ht="10.5" customHeight="1">
      <c r="A217" s="127"/>
      <c r="B217" s="118"/>
      <c r="C217" s="128"/>
      <c r="D217" s="128"/>
      <c r="E217" s="128"/>
      <c r="F217" s="128"/>
      <c r="G217" s="128"/>
      <c r="H217" s="128"/>
      <c r="I217" s="12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</row>
    <row r="218" ht="10.5" customHeight="1">
      <c r="A218" s="127"/>
      <c r="B218" s="118"/>
      <c r="C218" s="128"/>
      <c r="D218" s="128"/>
      <c r="E218" s="128"/>
      <c r="F218" s="128"/>
      <c r="G218" s="128"/>
      <c r="H218" s="128"/>
      <c r="I218" s="12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</row>
    <row r="219" ht="10.5" customHeight="1">
      <c r="A219" s="127"/>
      <c r="B219" s="118"/>
      <c r="C219" s="128"/>
      <c r="D219" s="128"/>
      <c r="E219" s="128"/>
      <c r="F219" s="128"/>
      <c r="G219" s="128"/>
      <c r="H219" s="128"/>
      <c r="I219" s="12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</row>
    <row r="220" ht="10.5" customHeight="1">
      <c r="A220" s="127"/>
      <c r="B220" s="118"/>
      <c r="C220" s="128"/>
      <c r="D220" s="128"/>
      <c r="E220" s="128"/>
      <c r="F220" s="128"/>
      <c r="G220" s="128"/>
      <c r="H220" s="128"/>
      <c r="I220" s="12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</row>
    <row r="221" ht="10.5" customHeight="1">
      <c r="A221" s="127"/>
      <c r="B221" s="118"/>
      <c r="C221" s="128"/>
      <c r="D221" s="128"/>
      <c r="E221" s="128"/>
      <c r="F221" s="128"/>
      <c r="G221" s="128"/>
      <c r="H221" s="128"/>
      <c r="I221" s="12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</row>
    <row r="222" ht="10.5" customHeight="1">
      <c r="A222" s="127"/>
      <c r="B222" s="118"/>
      <c r="C222" s="128"/>
      <c r="D222" s="128"/>
      <c r="E222" s="128"/>
      <c r="F222" s="128"/>
      <c r="G222" s="128"/>
      <c r="H222" s="128"/>
      <c r="I222" s="12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</row>
    <row r="223" ht="10.5" customHeight="1">
      <c r="A223" s="127"/>
      <c r="B223" s="118"/>
      <c r="C223" s="128"/>
      <c r="D223" s="128"/>
      <c r="E223" s="128"/>
      <c r="F223" s="128"/>
      <c r="G223" s="128"/>
      <c r="H223" s="128"/>
      <c r="I223" s="12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</row>
    <row r="224" ht="10.5" customHeight="1">
      <c r="A224" s="127"/>
      <c r="B224" s="118"/>
      <c r="C224" s="128"/>
      <c r="D224" s="128"/>
      <c r="E224" s="128"/>
      <c r="F224" s="128"/>
      <c r="G224" s="128"/>
      <c r="H224" s="128"/>
      <c r="I224" s="12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</row>
    <row r="225" ht="10.5" customHeight="1">
      <c r="A225" s="127"/>
      <c r="B225" s="118"/>
      <c r="C225" s="128"/>
      <c r="D225" s="128"/>
      <c r="E225" s="128"/>
      <c r="F225" s="128"/>
      <c r="G225" s="128"/>
      <c r="H225" s="128"/>
      <c r="I225" s="12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</row>
    <row r="226" ht="10.5" customHeight="1">
      <c r="A226" s="127"/>
      <c r="B226" s="118"/>
      <c r="C226" s="128"/>
      <c r="D226" s="128"/>
      <c r="E226" s="128"/>
      <c r="F226" s="128"/>
      <c r="G226" s="128"/>
      <c r="H226" s="128"/>
      <c r="I226" s="12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</row>
    <row r="227" ht="10.5" customHeight="1">
      <c r="A227" s="127"/>
      <c r="B227" s="118"/>
      <c r="C227" s="128"/>
      <c r="D227" s="128"/>
      <c r="E227" s="128"/>
      <c r="F227" s="128"/>
      <c r="G227" s="128"/>
      <c r="H227" s="128"/>
      <c r="I227" s="12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</row>
    <row r="228" ht="10.5" customHeight="1">
      <c r="A228" s="127"/>
      <c r="B228" s="118"/>
      <c r="C228" s="128"/>
      <c r="D228" s="128"/>
      <c r="E228" s="128"/>
      <c r="F228" s="128"/>
      <c r="G228" s="128"/>
      <c r="H228" s="128"/>
      <c r="I228" s="12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</row>
    <row r="229" ht="10.5" customHeight="1">
      <c r="A229" s="127"/>
      <c r="B229" s="118"/>
      <c r="C229" s="128"/>
      <c r="D229" s="128"/>
      <c r="E229" s="128"/>
      <c r="F229" s="128"/>
      <c r="G229" s="128"/>
      <c r="H229" s="128"/>
      <c r="I229" s="12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</row>
    <row r="230" ht="10.5" customHeight="1">
      <c r="A230" s="127"/>
      <c r="B230" s="118"/>
      <c r="C230" s="128"/>
      <c r="D230" s="128"/>
      <c r="E230" s="128"/>
      <c r="F230" s="128"/>
      <c r="G230" s="128"/>
      <c r="H230" s="128"/>
      <c r="I230" s="12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</row>
    <row r="231" ht="10.5" customHeight="1">
      <c r="A231" s="127"/>
      <c r="B231" s="118"/>
      <c r="C231" s="128"/>
      <c r="D231" s="128"/>
      <c r="E231" s="128"/>
      <c r="F231" s="128"/>
      <c r="G231" s="128"/>
      <c r="H231" s="128"/>
      <c r="I231" s="12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</row>
    <row r="232" ht="10.5" customHeight="1">
      <c r="A232" s="127"/>
      <c r="B232" s="118"/>
      <c r="C232" s="128"/>
      <c r="D232" s="128"/>
      <c r="E232" s="128"/>
      <c r="F232" s="128"/>
      <c r="G232" s="128"/>
      <c r="H232" s="128"/>
      <c r="I232" s="12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</row>
    <row r="233" ht="10.5" customHeight="1">
      <c r="A233" s="127"/>
      <c r="B233" s="118"/>
      <c r="C233" s="128"/>
      <c r="D233" s="128"/>
      <c r="E233" s="128"/>
      <c r="F233" s="128"/>
      <c r="G233" s="128"/>
      <c r="H233" s="128"/>
      <c r="I233" s="12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</row>
    <row r="234" ht="10.5" customHeight="1">
      <c r="A234" s="127"/>
      <c r="B234" s="118"/>
      <c r="C234" s="128"/>
      <c r="D234" s="128"/>
      <c r="E234" s="128"/>
      <c r="F234" s="128"/>
      <c r="G234" s="128"/>
      <c r="H234" s="128"/>
      <c r="I234" s="12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</row>
    <row r="235" ht="10.5" customHeight="1">
      <c r="A235" s="127"/>
      <c r="B235" s="118"/>
      <c r="C235" s="128"/>
      <c r="D235" s="128"/>
      <c r="E235" s="128"/>
      <c r="F235" s="128"/>
      <c r="G235" s="128"/>
      <c r="H235" s="128"/>
      <c r="I235" s="12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</row>
    <row r="236" ht="10.5" customHeight="1">
      <c r="A236" s="127"/>
      <c r="B236" s="118"/>
      <c r="C236" s="128"/>
      <c r="D236" s="128"/>
      <c r="E236" s="128"/>
      <c r="F236" s="128"/>
      <c r="G236" s="128"/>
      <c r="H236" s="128"/>
      <c r="I236" s="12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</row>
    <row r="237" ht="10.5" customHeight="1">
      <c r="A237" s="127"/>
      <c r="B237" s="118"/>
      <c r="C237" s="128"/>
      <c r="D237" s="128"/>
      <c r="E237" s="128"/>
      <c r="F237" s="128"/>
      <c r="G237" s="128"/>
      <c r="H237" s="128"/>
      <c r="I237" s="12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</row>
    <row r="238" ht="10.5" customHeight="1">
      <c r="A238" s="127"/>
      <c r="B238" s="118"/>
      <c r="C238" s="128"/>
      <c r="D238" s="128"/>
      <c r="E238" s="128"/>
      <c r="F238" s="128"/>
      <c r="G238" s="128"/>
      <c r="H238" s="128"/>
      <c r="I238" s="12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</row>
    <row r="239" ht="10.5" customHeight="1">
      <c r="A239" s="127"/>
      <c r="B239" s="118"/>
      <c r="C239" s="128"/>
      <c r="D239" s="128"/>
      <c r="E239" s="128"/>
      <c r="F239" s="128"/>
      <c r="G239" s="128"/>
      <c r="H239" s="128"/>
      <c r="I239" s="12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</row>
    <row r="240" ht="10.5" customHeight="1">
      <c r="A240" s="127"/>
      <c r="B240" s="118"/>
      <c r="C240" s="128"/>
      <c r="D240" s="128"/>
      <c r="E240" s="128"/>
      <c r="F240" s="128"/>
      <c r="G240" s="128"/>
      <c r="H240" s="128"/>
      <c r="I240" s="12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</row>
    <row r="241" ht="10.5" customHeight="1">
      <c r="A241" s="127"/>
      <c r="B241" s="118"/>
      <c r="C241" s="128"/>
      <c r="D241" s="128"/>
      <c r="E241" s="128"/>
      <c r="F241" s="128"/>
      <c r="G241" s="128"/>
      <c r="H241" s="128"/>
      <c r="I241" s="12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</row>
    <row r="242" ht="10.5" customHeight="1">
      <c r="A242" s="127"/>
      <c r="B242" s="118"/>
      <c r="C242" s="128"/>
      <c r="D242" s="128"/>
      <c r="E242" s="128"/>
      <c r="F242" s="128"/>
      <c r="G242" s="128"/>
      <c r="H242" s="128"/>
      <c r="I242" s="12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</row>
    <row r="243" ht="10.5" customHeight="1">
      <c r="A243" s="127"/>
      <c r="B243" s="118"/>
      <c r="C243" s="128"/>
      <c r="D243" s="128"/>
      <c r="E243" s="128"/>
      <c r="F243" s="128"/>
      <c r="G243" s="128"/>
      <c r="H243" s="128"/>
      <c r="I243" s="12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</row>
    <row r="244" ht="10.5" customHeight="1">
      <c r="A244" s="127"/>
      <c r="B244" s="118"/>
      <c r="C244" s="128"/>
      <c r="D244" s="128"/>
      <c r="E244" s="128"/>
      <c r="F244" s="128"/>
      <c r="G244" s="128"/>
      <c r="H244" s="128"/>
      <c r="I244" s="12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</row>
    <row r="245" ht="10.5" customHeight="1">
      <c r="A245" s="127"/>
      <c r="B245" s="118"/>
      <c r="C245" s="128"/>
      <c r="D245" s="128"/>
      <c r="E245" s="128"/>
      <c r="F245" s="128"/>
      <c r="G245" s="128"/>
      <c r="H245" s="128"/>
      <c r="I245" s="12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</row>
    <row r="246" ht="10.5" customHeight="1">
      <c r="A246" s="127"/>
      <c r="B246" s="118"/>
      <c r="C246" s="128"/>
      <c r="D246" s="128"/>
      <c r="E246" s="128"/>
      <c r="F246" s="128"/>
      <c r="G246" s="128"/>
      <c r="H246" s="128"/>
      <c r="I246" s="12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</row>
    <row r="247" ht="10.5" customHeight="1">
      <c r="A247" s="127"/>
      <c r="B247" s="118"/>
      <c r="C247" s="128"/>
      <c r="D247" s="128"/>
      <c r="E247" s="128"/>
      <c r="F247" s="128"/>
      <c r="G247" s="128"/>
      <c r="H247" s="128"/>
      <c r="I247" s="12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</row>
    <row r="248" ht="10.5" customHeight="1">
      <c r="A248" s="127"/>
      <c r="B248" s="118"/>
      <c r="C248" s="128"/>
      <c r="D248" s="128"/>
      <c r="E248" s="128"/>
      <c r="F248" s="128"/>
      <c r="G248" s="128"/>
      <c r="H248" s="128"/>
      <c r="I248" s="12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</row>
    <row r="249" ht="10.5" customHeight="1">
      <c r="A249" s="127"/>
      <c r="B249" s="118"/>
      <c r="C249" s="128"/>
      <c r="D249" s="128"/>
      <c r="E249" s="128"/>
      <c r="F249" s="128"/>
      <c r="G249" s="128"/>
      <c r="H249" s="128"/>
      <c r="I249" s="12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</row>
    <row r="250" ht="10.5" customHeight="1">
      <c r="A250" s="127"/>
      <c r="B250" s="118"/>
      <c r="C250" s="128"/>
      <c r="D250" s="128"/>
      <c r="E250" s="128"/>
      <c r="F250" s="128"/>
      <c r="G250" s="128"/>
      <c r="H250" s="128"/>
      <c r="I250" s="12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</row>
    <row r="251" ht="10.5" customHeight="1">
      <c r="A251" s="127"/>
      <c r="B251" s="118"/>
      <c r="C251" s="128"/>
      <c r="D251" s="128"/>
      <c r="E251" s="128"/>
      <c r="F251" s="128"/>
      <c r="G251" s="128"/>
      <c r="H251" s="128"/>
      <c r="I251" s="12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</row>
    <row r="252" ht="10.5" customHeight="1">
      <c r="A252" s="127"/>
      <c r="B252" s="118"/>
      <c r="C252" s="128"/>
      <c r="D252" s="128"/>
      <c r="E252" s="128"/>
      <c r="F252" s="128"/>
      <c r="G252" s="128"/>
      <c r="H252" s="128"/>
      <c r="I252" s="12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</row>
    <row r="253" ht="10.5" customHeight="1">
      <c r="A253" s="127"/>
      <c r="B253" s="118"/>
      <c r="C253" s="128"/>
      <c r="D253" s="128"/>
      <c r="E253" s="128"/>
      <c r="F253" s="128"/>
      <c r="G253" s="128"/>
      <c r="H253" s="128"/>
      <c r="I253" s="12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</row>
    <row r="254" ht="10.5" customHeight="1">
      <c r="A254" s="127"/>
      <c r="B254" s="118"/>
      <c r="C254" s="128"/>
      <c r="D254" s="128"/>
      <c r="E254" s="128"/>
      <c r="F254" s="128"/>
      <c r="G254" s="128"/>
      <c r="H254" s="128"/>
      <c r="I254" s="12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</row>
    <row r="255" ht="10.5" customHeight="1">
      <c r="A255" s="127"/>
      <c r="B255" s="118"/>
      <c r="C255" s="128"/>
      <c r="D255" s="128"/>
      <c r="E255" s="128"/>
      <c r="F255" s="128"/>
      <c r="G255" s="128"/>
      <c r="H255" s="128"/>
      <c r="I255" s="12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</row>
    <row r="256" ht="10.5" customHeight="1">
      <c r="A256" s="127"/>
      <c r="B256" s="118"/>
      <c r="C256" s="128"/>
      <c r="D256" s="128"/>
      <c r="E256" s="128"/>
      <c r="F256" s="128"/>
      <c r="G256" s="128"/>
      <c r="H256" s="128"/>
      <c r="I256" s="12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</row>
    <row r="257" ht="10.5" customHeight="1">
      <c r="A257" s="127"/>
      <c r="B257" s="118"/>
      <c r="C257" s="128"/>
      <c r="D257" s="128"/>
      <c r="E257" s="128"/>
      <c r="F257" s="128"/>
      <c r="G257" s="128"/>
      <c r="H257" s="128"/>
      <c r="I257" s="12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</row>
    <row r="258" ht="10.5" customHeight="1">
      <c r="A258" s="127"/>
      <c r="B258" s="118"/>
      <c r="C258" s="128"/>
      <c r="D258" s="128"/>
      <c r="E258" s="128"/>
      <c r="F258" s="128"/>
      <c r="G258" s="128"/>
      <c r="H258" s="128"/>
      <c r="I258" s="12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</row>
    <row r="259" ht="10.5" customHeight="1">
      <c r="A259" s="127"/>
      <c r="B259" s="118"/>
      <c r="C259" s="128"/>
      <c r="D259" s="128"/>
      <c r="E259" s="128"/>
      <c r="F259" s="128"/>
      <c r="G259" s="128"/>
      <c r="H259" s="128"/>
      <c r="I259" s="12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</row>
    <row r="260" ht="10.5" customHeight="1">
      <c r="A260" s="127"/>
      <c r="B260" s="118"/>
      <c r="C260" s="128"/>
      <c r="D260" s="128"/>
      <c r="E260" s="128"/>
      <c r="F260" s="128"/>
      <c r="G260" s="128"/>
      <c r="H260" s="128"/>
      <c r="I260" s="12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</row>
    <row r="261" ht="10.5" customHeight="1">
      <c r="A261" s="127"/>
      <c r="B261" s="118"/>
      <c r="C261" s="128"/>
      <c r="D261" s="128"/>
      <c r="E261" s="128"/>
      <c r="F261" s="128"/>
      <c r="G261" s="128"/>
      <c r="H261" s="128"/>
      <c r="I261" s="12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</row>
    <row r="262" ht="10.5" customHeight="1">
      <c r="A262" s="127"/>
      <c r="B262" s="118"/>
      <c r="C262" s="128"/>
      <c r="D262" s="128"/>
      <c r="E262" s="128"/>
      <c r="F262" s="128"/>
      <c r="G262" s="128"/>
      <c r="H262" s="128"/>
      <c r="I262" s="12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</row>
    <row r="263" ht="10.5" customHeight="1">
      <c r="A263" s="127"/>
      <c r="B263" s="118"/>
      <c r="C263" s="128"/>
      <c r="D263" s="128"/>
      <c r="E263" s="128"/>
      <c r="F263" s="128"/>
      <c r="G263" s="128"/>
      <c r="H263" s="128"/>
      <c r="I263" s="12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</row>
    <row r="264" ht="10.5" customHeight="1">
      <c r="A264" s="127"/>
      <c r="B264" s="118"/>
      <c r="C264" s="128"/>
      <c r="D264" s="128"/>
      <c r="E264" s="128"/>
      <c r="F264" s="128"/>
      <c r="G264" s="128"/>
      <c r="H264" s="128"/>
      <c r="I264" s="12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</row>
    <row r="265" ht="10.5" customHeight="1">
      <c r="A265" s="127"/>
      <c r="B265" s="118"/>
      <c r="C265" s="128"/>
      <c r="D265" s="128"/>
      <c r="E265" s="128"/>
      <c r="F265" s="128"/>
      <c r="G265" s="128"/>
      <c r="H265" s="128"/>
      <c r="I265" s="12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</row>
    <row r="266" ht="10.5" customHeight="1">
      <c r="A266" s="127"/>
      <c r="B266" s="118"/>
      <c r="C266" s="128"/>
      <c r="D266" s="128"/>
      <c r="E266" s="128"/>
      <c r="F266" s="128"/>
      <c r="G266" s="128"/>
      <c r="H266" s="128"/>
      <c r="I266" s="12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</row>
    <row r="267" ht="10.5" customHeight="1">
      <c r="A267" s="127"/>
      <c r="B267" s="118"/>
      <c r="C267" s="128"/>
      <c r="D267" s="128"/>
      <c r="E267" s="128"/>
      <c r="F267" s="128"/>
      <c r="G267" s="128"/>
      <c r="H267" s="128"/>
      <c r="I267" s="12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</row>
    <row r="268" ht="10.5" customHeight="1">
      <c r="A268" s="127"/>
      <c r="B268" s="118"/>
      <c r="C268" s="128"/>
      <c r="D268" s="128"/>
      <c r="E268" s="128"/>
      <c r="F268" s="128"/>
      <c r="G268" s="128"/>
      <c r="H268" s="128"/>
      <c r="I268" s="12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</row>
    <row r="269" ht="10.5" customHeight="1">
      <c r="A269" s="127"/>
      <c r="B269" s="118"/>
      <c r="C269" s="128"/>
      <c r="D269" s="128"/>
      <c r="E269" s="128"/>
      <c r="F269" s="128"/>
      <c r="G269" s="128"/>
      <c r="H269" s="128"/>
      <c r="I269" s="12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</row>
    <row r="270" ht="10.5" customHeight="1">
      <c r="A270" s="127"/>
      <c r="B270" s="118"/>
      <c r="C270" s="128"/>
      <c r="D270" s="128"/>
      <c r="E270" s="128"/>
      <c r="F270" s="128"/>
      <c r="G270" s="128"/>
      <c r="H270" s="128"/>
      <c r="I270" s="12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</row>
    <row r="271" ht="10.5" customHeight="1">
      <c r="A271" s="127"/>
      <c r="B271" s="118"/>
      <c r="C271" s="128"/>
      <c r="D271" s="128"/>
      <c r="E271" s="128"/>
      <c r="F271" s="128"/>
      <c r="G271" s="128"/>
      <c r="H271" s="128"/>
      <c r="I271" s="12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</row>
    <row r="272" ht="10.5" customHeight="1">
      <c r="A272" s="127"/>
      <c r="B272" s="118"/>
      <c r="C272" s="128"/>
      <c r="D272" s="128"/>
      <c r="E272" s="128"/>
      <c r="F272" s="128"/>
      <c r="G272" s="128"/>
      <c r="H272" s="128"/>
      <c r="I272" s="12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</row>
    <row r="273" ht="10.5" customHeight="1">
      <c r="A273" s="127"/>
      <c r="B273" s="118"/>
      <c r="C273" s="128"/>
      <c r="D273" s="128"/>
      <c r="E273" s="128"/>
      <c r="F273" s="128"/>
      <c r="G273" s="128"/>
      <c r="H273" s="128"/>
      <c r="I273" s="12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</row>
    <row r="274" ht="10.5" customHeight="1">
      <c r="A274" s="127"/>
      <c r="B274" s="118"/>
      <c r="C274" s="128"/>
      <c r="D274" s="128"/>
      <c r="E274" s="128"/>
      <c r="F274" s="128"/>
      <c r="G274" s="128"/>
      <c r="H274" s="128"/>
      <c r="I274" s="12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</row>
    <row r="275" ht="10.5" customHeight="1">
      <c r="A275" s="127"/>
      <c r="B275" s="118"/>
      <c r="C275" s="128"/>
      <c r="D275" s="128"/>
      <c r="E275" s="128"/>
      <c r="F275" s="128"/>
      <c r="G275" s="128"/>
      <c r="H275" s="128"/>
      <c r="I275" s="12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</row>
    <row r="276" ht="10.5" customHeight="1">
      <c r="A276" s="127"/>
      <c r="B276" s="118"/>
      <c r="C276" s="128"/>
      <c r="D276" s="128"/>
      <c r="E276" s="128"/>
      <c r="F276" s="128"/>
      <c r="G276" s="128"/>
      <c r="H276" s="128"/>
      <c r="I276" s="12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</row>
    <row r="277" ht="10.5" customHeight="1">
      <c r="A277" s="127"/>
      <c r="B277" s="118"/>
      <c r="C277" s="128"/>
      <c r="D277" s="128"/>
      <c r="E277" s="128"/>
      <c r="F277" s="128"/>
      <c r="G277" s="128"/>
      <c r="H277" s="128"/>
      <c r="I277" s="12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</row>
    <row r="278" ht="10.5" customHeight="1">
      <c r="A278" s="127"/>
      <c r="B278" s="118"/>
      <c r="C278" s="128"/>
      <c r="D278" s="128"/>
      <c r="E278" s="128"/>
      <c r="F278" s="128"/>
      <c r="G278" s="128"/>
      <c r="H278" s="128"/>
      <c r="I278" s="12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</row>
    <row r="279" ht="10.5" customHeight="1">
      <c r="A279" s="127"/>
      <c r="B279" s="118"/>
      <c r="C279" s="128"/>
      <c r="D279" s="128"/>
      <c r="E279" s="128"/>
      <c r="F279" s="128"/>
      <c r="G279" s="128"/>
      <c r="H279" s="128"/>
      <c r="I279" s="12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</row>
    <row r="280" ht="10.5" customHeight="1">
      <c r="A280" s="127"/>
      <c r="B280" s="118"/>
      <c r="C280" s="128"/>
      <c r="D280" s="128"/>
      <c r="E280" s="128"/>
      <c r="F280" s="128"/>
      <c r="G280" s="128"/>
      <c r="H280" s="128"/>
      <c r="I280" s="12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</row>
    <row r="281" ht="10.5" customHeight="1">
      <c r="A281" s="127"/>
      <c r="B281" s="118"/>
      <c r="C281" s="128"/>
      <c r="D281" s="128"/>
      <c r="E281" s="128"/>
      <c r="F281" s="128"/>
      <c r="G281" s="128"/>
      <c r="H281" s="128"/>
      <c r="I281" s="12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</row>
    <row r="282" ht="10.5" customHeight="1">
      <c r="A282" s="127"/>
      <c r="B282" s="118"/>
      <c r="C282" s="128"/>
      <c r="D282" s="128"/>
      <c r="E282" s="128"/>
      <c r="F282" s="128"/>
      <c r="G282" s="128"/>
      <c r="H282" s="128"/>
      <c r="I282" s="12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</row>
    <row r="283" ht="10.5" customHeight="1">
      <c r="A283" s="127"/>
      <c r="B283" s="118"/>
      <c r="C283" s="128"/>
      <c r="D283" s="128"/>
      <c r="E283" s="128"/>
      <c r="F283" s="128"/>
      <c r="G283" s="128"/>
      <c r="H283" s="128"/>
      <c r="I283" s="12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</row>
    <row r="284" ht="10.5" customHeight="1">
      <c r="A284" s="127"/>
      <c r="B284" s="118"/>
      <c r="C284" s="128"/>
      <c r="D284" s="128"/>
      <c r="E284" s="128"/>
      <c r="F284" s="128"/>
      <c r="G284" s="128"/>
      <c r="H284" s="128"/>
      <c r="I284" s="12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</row>
    <row r="285" ht="10.5" customHeight="1">
      <c r="A285" s="127"/>
      <c r="B285" s="118"/>
      <c r="C285" s="128"/>
      <c r="D285" s="128"/>
      <c r="E285" s="128"/>
      <c r="F285" s="128"/>
      <c r="G285" s="128"/>
      <c r="H285" s="128"/>
      <c r="I285" s="12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</row>
    <row r="286" ht="10.5" customHeight="1">
      <c r="A286" s="127"/>
      <c r="B286" s="118"/>
      <c r="C286" s="128"/>
      <c r="D286" s="128"/>
      <c r="E286" s="128"/>
      <c r="F286" s="128"/>
      <c r="G286" s="128"/>
      <c r="H286" s="128"/>
      <c r="I286" s="12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</row>
    <row r="287" ht="10.5" customHeight="1">
      <c r="A287" s="127"/>
      <c r="B287" s="118"/>
      <c r="C287" s="128"/>
      <c r="D287" s="128"/>
      <c r="E287" s="128"/>
      <c r="F287" s="128"/>
      <c r="G287" s="128"/>
      <c r="H287" s="128"/>
      <c r="I287" s="12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</row>
    <row r="288" ht="10.5" customHeight="1">
      <c r="A288" s="127"/>
      <c r="B288" s="118"/>
      <c r="C288" s="128"/>
      <c r="D288" s="128"/>
      <c r="E288" s="128"/>
      <c r="F288" s="128"/>
      <c r="G288" s="128"/>
      <c r="H288" s="128"/>
      <c r="I288" s="12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</row>
    <row r="289" ht="10.5" customHeight="1">
      <c r="A289" s="127"/>
      <c r="B289" s="118"/>
      <c r="C289" s="128"/>
      <c r="D289" s="128"/>
      <c r="E289" s="128"/>
      <c r="F289" s="128"/>
      <c r="G289" s="128"/>
      <c r="H289" s="128"/>
      <c r="I289" s="12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</row>
    <row r="290" ht="10.5" customHeight="1">
      <c r="A290" s="127"/>
      <c r="B290" s="118"/>
      <c r="C290" s="128"/>
      <c r="D290" s="128"/>
      <c r="E290" s="128"/>
      <c r="F290" s="128"/>
      <c r="G290" s="128"/>
      <c r="H290" s="128"/>
      <c r="I290" s="12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</row>
    <row r="291" ht="10.5" customHeight="1">
      <c r="A291" s="127"/>
      <c r="B291" s="118"/>
      <c r="C291" s="128"/>
      <c r="D291" s="128"/>
      <c r="E291" s="128"/>
      <c r="F291" s="128"/>
      <c r="G291" s="128"/>
      <c r="H291" s="128"/>
      <c r="I291" s="12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</row>
    <row r="292" ht="10.5" customHeight="1">
      <c r="A292" s="127"/>
      <c r="B292" s="118"/>
      <c r="C292" s="128"/>
      <c r="D292" s="128"/>
      <c r="E292" s="128"/>
      <c r="F292" s="128"/>
      <c r="G292" s="128"/>
      <c r="H292" s="128"/>
      <c r="I292" s="12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</row>
    <row r="293" ht="10.5" customHeight="1">
      <c r="A293" s="127"/>
      <c r="B293" s="118"/>
      <c r="C293" s="128"/>
      <c r="D293" s="128"/>
      <c r="E293" s="128"/>
      <c r="F293" s="128"/>
      <c r="G293" s="128"/>
      <c r="H293" s="128"/>
      <c r="I293" s="12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</row>
    <row r="294" ht="10.5" customHeight="1">
      <c r="A294" s="127"/>
      <c r="B294" s="118"/>
      <c r="C294" s="128"/>
      <c r="D294" s="128"/>
      <c r="E294" s="128"/>
      <c r="F294" s="128"/>
      <c r="G294" s="128"/>
      <c r="H294" s="128"/>
      <c r="I294" s="12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</row>
    <row r="295" ht="10.5" customHeight="1">
      <c r="A295" s="127"/>
      <c r="B295" s="118"/>
      <c r="C295" s="128"/>
      <c r="D295" s="128"/>
      <c r="E295" s="128"/>
      <c r="F295" s="128"/>
      <c r="G295" s="128"/>
      <c r="H295" s="128"/>
      <c r="I295" s="12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</row>
    <row r="296" ht="10.5" customHeight="1">
      <c r="A296" s="127"/>
      <c r="B296" s="118"/>
      <c r="C296" s="128"/>
      <c r="D296" s="128"/>
      <c r="E296" s="128"/>
      <c r="F296" s="128"/>
      <c r="G296" s="128"/>
      <c r="H296" s="128"/>
      <c r="I296" s="12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</row>
    <row r="297" ht="10.5" customHeight="1">
      <c r="A297" s="127"/>
      <c r="B297" s="118"/>
      <c r="C297" s="128"/>
      <c r="D297" s="128"/>
      <c r="E297" s="128"/>
      <c r="F297" s="128"/>
      <c r="G297" s="128"/>
      <c r="H297" s="128"/>
      <c r="I297" s="12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</row>
    <row r="298" ht="10.5" customHeight="1">
      <c r="A298" s="127"/>
      <c r="B298" s="118"/>
      <c r="C298" s="128"/>
      <c r="D298" s="128"/>
      <c r="E298" s="128"/>
      <c r="F298" s="128"/>
      <c r="G298" s="128"/>
      <c r="H298" s="128"/>
      <c r="I298" s="12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</row>
    <row r="299" ht="10.5" customHeight="1">
      <c r="A299" s="127"/>
      <c r="B299" s="118"/>
      <c r="C299" s="128"/>
      <c r="D299" s="128"/>
      <c r="E299" s="128"/>
      <c r="F299" s="128"/>
      <c r="G299" s="128"/>
      <c r="H299" s="128"/>
      <c r="I299" s="12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</row>
    <row r="300" ht="10.5" customHeight="1">
      <c r="A300" s="127"/>
      <c r="B300" s="118"/>
      <c r="C300" s="128"/>
      <c r="D300" s="128"/>
      <c r="E300" s="128"/>
      <c r="F300" s="128"/>
      <c r="G300" s="128"/>
      <c r="H300" s="128"/>
      <c r="I300" s="12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</row>
    <row r="301" ht="10.5" customHeight="1">
      <c r="A301" s="127"/>
      <c r="B301" s="118"/>
      <c r="C301" s="128"/>
      <c r="D301" s="128"/>
      <c r="E301" s="128"/>
      <c r="F301" s="128"/>
      <c r="G301" s="128"/>
      <c r="H301" s="128"/>
      <c r="I301" s="12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</row>
    <row r="302" ht="10.5" customHeight="1">
      <c r="A302" s="127"/>
      <c r="B302" s="118"/>
      <c r="C302" s="128"/>
      <c r="D302" s="128"/>
      <c r="E302" s="128"/>
      <c r="F302" s="128"/>
      <c r="G302" s="128"/>
      <c r="H302" s="128"/>
      <c r="I302" s="12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</row>
    <row r="303" ht="10.5" customHeight="1">
      <c r="A303" s="127"/>
      <c r="B303" s="118"/>
      <c r="C303" s="128"/>
      <c r="D303" s="128"/>
      <c r="E303" s="128"/>
      <c r="F303" s="128"/>
      <c r="G303" s="128"/>
      <c r="H303" s="128"/>
      <c r="I303" s="12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</row>
    <row r="304" ht="10.5" customHeight="1">
      <c r="A304" s="127"/>
      <c r="B304" s="118"/>
      <c r="C304" s="128"/>
      <c r="D304" s="128"/>
      <c r="E304" s="128"/>
      <c r="F304" s="128"/>
      <c r="G304" s="128"/>
      <c r="H304" s="128"/>
      <c r="I304" s="12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</row>
    <row r="305" ht="10.5" customHeight="1">
      <c r="A305" s="127"/>
      <c r="B305" s="118"/>
      <c r="C305" s="128"/>
      <c r="D305" s="128"/>
      <c r="E305" s="128"/>
      <c r="F305" s="128"/>
      <c r="G305" s="128"/>
      <c r="H305" s="128"/>
      <c r="I305" s="12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</row>
    <row r="306" ht="10.5" customHeight="1">
      <c r="A306" s="127"/>
      <c r="B306" s="118"/>
      <c r="C306" s="128"/>
      <c r="D306" s="128"/>
      <c r="E306" s="128"/>
      <c r="F306" s="128"/>
      <c r="G306" s="128"/>
      <c r="H306" s="128"/>
      <c r="I306" s="12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</row>
    <row r="307" ht="10.5" customHeight="1">
      <c r="A307" s="127"/>
      <c r="B307" s="118"/>
      <c r="C307" s="128"/>
      <c r="D307" s="128"/>
      <c r="E307" s="128"/>
      <c r="F307" s="128"/>
      <c r="G307" s="128"/>
      <c r="H307" s="128"/>
      <c r="I307" s="12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</row>
    <row r="308" ht="10.5" customHeight="1">
      <c r="A308" s="127"/>
      <c r="B308" s="118"/>
      <c r="C308" s="128"/>
      <c r="D308" s="128"/>
      <c r="E308" s="128"/>
      <c r="F308" s="128"/>
      <c r="G308" s="128"/>
      <c r="H308" s="128"/>
      <c r="I308" s="12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</row>
    <row r="309" ht="10.5" customHeight="1">
      <c r="A309" s="127"/>
      <c r="B309" s="118"/>
      <c r="C309" s="128"/>
      <c r="D309" s="128"/>
      <c r="E309" s="128"/>
      <c r="F309" s="128"/>
      <c r="G309" s="128"/>
      <c r="H309" s="128"/>
      <c r="I309" s="12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</row>
    <row r="310" ht="10.5" customHeight="1">
      <c r="A310" s="127"/>
      <c r="B310" s="118"/>
      <c r="C310" s="128"/>
      <c r="D310" s="128"/>
      <c r="E310" s="128"/>
      <c r="F310" s="128"/>
      <c r="G310" s="128"/>
      <c r="H310" s="128"/>
      <c r="I310" s="12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</row>
    <row r="311" ht="10.5" customHeight="1">
      <c r="A311" s="127"/>
      <c r="B311" s="118"/>
      <c r="C311" s="128"/>
      <c r="D311" s="128"/>
      <c r="E311" s="128"/>
      <c r="F311" s="128"/>
      <c r="G311" s="128"/>
      <c r="H311" s="128"/>
      <c r="I311" s="12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</row>
    <row r="312" ht="10.5" customHeight="1">
      <c r="A312" s="127"/>
      <c r="B312" s="118"/>
      <c r="C312" s="128"/>
      <c r="D312" s="128"/>
      <c r="E312" s="128"/>
      <c r="F312" s="128"/>
      <c r="G312" s="128"/>
      <c r="H312" s="128"/>
      <c r="I312" s="12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</row>
    <row r="313" ht="10.5" customHeight="1">
      <c r="A313" s="127"/>
      <c r="B313" s="118"/>
      <c r="C313" s="128"/>
      <c r="D313" s="128"/>
      <c r="E313" s="128"/>
      <c r="F313" s="128"/>
      <c r="G313" s="128"/>
      <c r="H313" s="128"/>
      <c r="I313" s="12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</row>
    <row r="314" ht="10.5" customHeight="1">
      <c r="A314" s="127"/>
      <c r="B314" s="118"/>
      <c r="C314" s="128"/>
      <c r="D314" s="128"/>
      <c r="E314" s="128"/>
      <c r="F314" s="128"/>
      <c r="G314" s="128"/>
      <c r="H314" s="128"/>
      <c r="I314" s="12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</row>
    <row r="315" ht="10.5" customHeight="1">
      <c r="A315" s="127"/>
      <c r="B315" s="118"/>
      <c r="C315" s="128"/>
      <c r="D315" s="128"/>
      <c r="E315" s="128"/>
      <c r="F315" s="128"/>
      <c r="G315" s="128"/>
      <c r="H315" s="128"/>
      <c r="I315" s="12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</row>
    <row r="316" ht="10.5" customHeight="1">
      <c r="A316" s="127"/>
      <c r="B316" s="118"/>
      <c r="C316" s="128"/>
      <c r="D316" s="128"/>
      <c r="E316" s="128"/>
      <c r="F316" s="128"/>
      <c r="G316" s="128"/>
      <c r="H316" s="128"/>
      <c r="I316" s="12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</row>
    <row r="317" ht="10.5" customHeight="1">
      <c r="A317" s="127"/>
      <c r="B317" s="118"/>
      <c r="C317" s="128"/>
      <c r="D317" s="128"/>
      <c r="E317" s="128"/>
      <c r="F317" s="128"/>
      <c r="G317" s="128"/>
      <c r="H317" s="128"/>
      <c r="I317" s="12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</row>
    <row r="318" ht="10.5" customHeight="1">
      <c r="A318" s="127"/>
      <c r="B318" s="118"/>
      <c r="C318" s="128"/>
      <c r="D318" s="128"/>
      <c r="E318" s="128"/>
      <c r="F318" s="128"/>
      <c r="G318" s="128"/>
      <c r="H318" s="128"/>
      <c r="I318" s="12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</row>
    <row r="319" ht="10.5" customHeight="1">
      <c r="A319" s="127"/>
      <c r="B319" s="118"/>
      <c r="C319" s="128"/>
      <c r="D319" s="128"/>
      <c r="E319" s="128"/>
      <c r="F319" s="128"/>
      <c r="G319" s="128"/>
      <c r="H319" s="128"/>
      <c r="I319" s="12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</row>
    <row r="320" ht="10.5" customHeight="1">
      <c r="A320" s="127"/>
      <c r="B320" s="118"/>
      <c r="C320" s="128"/>
      <c r="D320" s="128"/>
      <c r="E320" s="128"/>
      <c r="F320" s="128"/>
      <c r="G320" s="128"/>
      <c r="H320" s="128"/>
      <c r="I320" s="12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</row>
    <row r="321" ht="10.5" customHeight="1">
      <c r="A321" s="127"/>
      <c r="B321" s="118"/>
      <c r="C321" s="128"/>
      <c r="D321" s="128"/>
      <c r="E321" s="128"/>
      <c r="F321" s="128"/>
      <c r="G321" s="128"/>
      <c r="H321" s="128"/>
      <c r="I321" s="12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</row>
    <row r="322" ht="10.5" customHeight="1">
      <c r="A322" s="127"/>
      <c r="B322" s="118"/>
      <c r="C322" s="128"/>
      <c r="D322" s="128"/>
      <c r="E322" s="128"/>
      <c r="F322" s="128"/>
      <c r="G322" s="128"/>
      <c r="H322" s="128"/>
      <c r="I322" s="12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</row>
    <row r="323" ht="10.5" customHeight="1">
      <c r="A323" s="127"/>
      <c r="B323" s="118"/>
      <c r="C323" s="128"/>
      <c r="D323" s="128"/>
      <c r="E323" s="128"/>
      <c r="F323" s="128"/>
      <c r="G323" s="128"/>
      <c r="H323" s="128"/>
      <c r="I323" s="12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</row>
    <row r="324" ht="10.5" customHeight="1">
      <c r="A324" s="127"/>
      <c r="B324" s="118"/>
      <c r="C324" s="128"/>
      <c r="D324" s="128"/>
      <c r="E324" s="128"/>
      <c r="F324" s="128"/>
      <c r="G324" s="128"/>
      <c r="H324" s="128"/>
      <c r="I324" s="12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</row>
    <row r="325" ht="10.5" customHeight="1">
      <c r="A325" s="127"/>
      <c r="B325" s="118"/>
      <c r="C325" s="128"/>
      <c r="D325" s="128"/>
      <c r="E325" s="128"/>
      <c r="F325" s="128"/>
      <c r="G325" s="128"/>
      <c r="H325" s="128"/>
      <c r="I325" s="12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</row>
    <row r="326" ht="10.5" customHeight="1">
      <c r="A326" s="127"/>
      <c r="B326" s="118"/>
      <c r="C326" s="128"/>
      <c r="D326" s="128"/>
      <c r="E326" s="128"/>
      <c r="F326" s="128"/>
      <c r="G326" s="128"/>
      <c r="H326" s="128"/>
      <c r="I326" s="12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</row>
    <row r="327" ht="10.5" customHeight="1">
      <c r="A327" s="127"/>
      <c r="B327" s="118"/>
      <c r="C327" s="128"/>
      <c r="D327" s="128"/>
      <c r="E327" s="128"/>
      <c r="F327" s="128"/>
      <c r="G327" s="128"/>
      <c r="H327" s="128"/>
      <c r="I327" s="12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</row>
    <row r="328" ht="10.5" customHeight="1">
      <c r="A328" s="127"/>
      <c r="B328" s="118"/>
      <c r="C328" s="128"/>
      <c r="D328" s="128"/>
      <c r="E328" s="128"/>
      <c r="F328" s="128"/>
      <c r="G328" s="128"/>
      <c r="H328" s="128"/>
      <c r="I328" s="12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</row>
    <row r="329" ht="10.5" customHeight="1">
      <c r="A329" s="127"/>
      <c r="B329" s="118"/>
      <c r="C329" s="128"/>
      <c r="D329" s="128"/>
      <c r="E329" s="128"/>
      <c r="F329" s="128"/>
      <c r="G329" s="128"/>
      <c r="H329" s="128"/>
      <c r="I329" s="12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</row>
    <row r="330" ht="10.5" customHeight="1">
      <c r="A330" s="127"/>
      <c r="B330" s="118"/>
      <c r="C330" s="128"/>
      <c r="D330" s="128"/>
      <c r="E330" s="128"/>
      <c r="F330" s="128"/>
      <c r="G330" s="128"/>
      <c r="H330" s="128"/>
      <c r="I330" s="12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</row>
    <row r="331" ht="10.5" customHeight="1">
      <c r="A331" s="127"/>
      <c r="B331" s="118"/>
      <c r="C331" s="128"/>
      <c r="D331" s="128"/>
      <c r="E331" s="128"/>
      <c r="F331" s="128"/>
      <c r="G331" s="128"/>
      <c r="H331" s="128"/>
      <c r="I331" s="12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</row>
    <row r="332" ht="10.5" customHeight="1">
      <c r="A332" s="127"/>
      <c r="B332" s="118"/>
      <c r="C332" s="128"/>
      <c r="D332" s="128"/>
      <c r="E332" s="128"/>
      <c r="F332" s="128"/>
      <c r="G332" s="128"/>
      <c r="H332" s="128"/>
      <c r="I332" s="12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</row>
    <row r="333" ht="10.5" customHeight="1">
      <c r="A333" s="127"/>
      <c r="B333" s="118"/>
      <c r="C333" s="128"/>
      <c r="D333" s="128"/>
      <c r="E333" s="128"/>
      <c r="F333" s="128"/>
      <c r="G333" s="128"/>
      <c r="H333" s="128"/>
      <c r="I333" s="12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</row>
    <row r="334" ht="10.5" customHeight="1">
      <c r="A334" s="127"/>
      <c r="B334" s="118"/>
      <c r="C334" s="128"/>
      <c r="D334" s="128"/>
      <c r="E334" s="128"/>
      <c r="F334" s="128"/>
      <c r="G334" s="128"/>
      <c r="H334" s="128"/>
      <c r="I334" s="12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</row>
    <row r="335" ht="10.5" customHeight="1">
      <c r="A335" s="127"/>
      <c r="B335" s="118"/>
      <c r="C335" s="128"/>
      <c r="D335" s="128"/>
      <c r="E335" s="128"/>
      <c r="F335" s="128"/>
      <c r="G335" s="128"/>
      <c r="H335" s="128"/>
      <c r="I335" s="12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</row>
    <row r="336" ht="10.5" customHeight="1">
      <c r="A336" s="127"/>
      <c r="B336" s="118"/>
      <c r="C336" s="128"/>
      <c r="D336" s="128"/>
      <c r="E336" s="128"/>
      <c r="F336" s="128"/>
      <c r="G336" s="128"/>
      <c r="H336" s="128"/>
      <c r="I336" s="12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</row>
    <row r="337" ht="10.5" customHeight="1">
      <c r="A337" s="127"/>
      <c r="B337" s="118"/>
      <c r="C337" s="128"/>
      <c r="D337" s="128"/>
      <c r="E337" s="128"/>
      <c r="F337" s="128"/>
      <c r="G337" s="128"/>
      <c r="H337" s="128"/>
      <c r="I337" s="12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</row>
    <row r="338" ht="10.5" customHeight="1">
      <c r="A338" s="127"/>
      <c r="B338" s="118"/>
      <c r="C338" s="128"/>
      <c r="D338" s="128"/>
      <c r="E338" s="128"/>
      <c r="F338" s="128"/>
      <c r="G338" s="128"/>
      <c r="H338" s="128"/>
      <c r="I338" s="12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</row>
    <row r="339" ht="10.5" customHeight="1">
      <c r="A339" s="127"/>
      <c r="B339" s="118"/>
      <c r="C339" s="128"/>
      <c r="D339" s="128"/>
      <c r="E339" s="128"/>
      <c r="F339" s="128"/>
      <c r="G339" s="128"/>
      <c r="H339" s="128"/>
      <c r="I339" s="12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</row>
    <row r="340" ht="10.5" customHeight="1">
      <c r="A340" s="127"/>
      <c r="B340" s="118"/>
      <c r="C340" s="128"/>
      <c r="D340" s="128"/>
      <c r="E340" s="128"/>
      <c r="F340" s="128"/>
      <c r="G340" s="128"/>
      <c r="H340" s="128"/>
      <c r="I340" s="12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</row>
    <row r="341" ht="10.5" customHeight="1">
      <c r="A341" s="127"/>
      <c r="B341" s="118"/>
      <c r="C341" s="128"/>
      <c r="D341" s="128"/>
      <c r="E341" s="128"/>
      <c r="F341" s="128"/>
      <c r="G341" s="128"/>
      <c r="H341" s="128"/>
      <c r="I341" s="12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</row>
    <row r="342" ht="10.5" customHeight="1">
      <c r="A342" s="127"/>
      <c r="B342" s="118"/>
      <c r="C342" s="128"/>
      <c r="D342" s="128"/>
      <c r="E342" s="128"/>
      <c r="F342" s="128"/>
      <c r="G342" s="128"/>
      <c r="H342" s="128"/>
      <c r="I342" s="12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</row>
    <row r="343" ht="10.5" customHeight="1">
      <c r="A343" s="127"/>
      <c r="B343" s="118"/>
      <c r="C343" s="128"/>
      <c r="D343" s="128"/>
      <c r="E343" s="128"/>
      <c r="F343" s="128"/>
      <c r="G343" s="128"/>
      <c r="H343" s="128"/>
      <c r="I343" s="12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</row>
    <row r="344" ht="10.5" customHeight="1">
      <c r="A344" s="127"/>
      <c r="B344" s="118"/>
      <c r="C344" s="128"/>
      <c r="D344" s="128"/>
      <c r="E344" s="128"/>
      <c r="F344" s="128"/>
      <c r="G344" s="128"/>
      <c r="H344" s="128"/>
      <c r="I344" s="12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</row>
    <row r="345" ht="10.5" customHeight="1">
      <c r="A345" s="127"/>
      <c r="B345" s="118"/>
      <c r="C345" s="128"/>
      <c r="D345" s="128"/>
      <c r="E345" s="128"/>
      <c r="F345" s="128"/>
      <c r="G345" s="128"/>
      <c r="H345" s="128"/>
      <c r="I345" s="12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</row>
    <row r="346" ht="10.5" customHeight="1">
      <c r="A346" s="127"/>
      <c r="B346" s="118"/>
      <c r="C346" s="128"/>
      <c r="D346" s="128"/>
      <c r="E346" s="128"/>
      <c r="F346" s="128"/>
      <c r="G346" s="128"/>
      <c r="H346" s="128"/>
      <c r="I346" s="12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</row>
    <row r="347" ht="10.5" customHeight="1">
      <c r="A347" s="127"/>
      <c r="B347" s="118"/>
      <c r="C347" s="128"/>
      <c r="D347" s="128"/>
      <c r="E347" s="128"/>
      <c r="F347" s="128"/>
      <c r="G347" s="128"/>
      <c r="H347" s="128"/>
      <c r="I347" s="12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</row>
    <row r="348" ht="10.5" customHeight="1">
      <c r="A348" s="127"/>
      <c r="B348" s="118"/>
      <c r="C348" s="128"/>
      <c r="D348" s="128"/>
      <c r="E348" s="128"/>
      <c r="F348" s="128"/>
      <c r="G348" s="128"/>
      <c r="H348" s="128"/>
      <c r="I348" s="12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</row>
    <row r="349" ht="10.5" customHeight="1">
      <c r="A349" s="127"/>
      <c r="B349" s="118"/>
      <c r="C349" s="128"/>
      <c r="D349" s="128"/>
      <c r="E349" s="128"/>
      <c r="F349" s="128"/>
      <c r="G349" s="128"/>
      <c r="H349" s="128"/>
      <c r="I349" s="12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</row>
    <row r="350" ht="10.5" customHeight="1">
      <c r="A350" s="127"/>
      <c r="B350" s="118"/>
      <c r="C350" s="128"/>
      <c r="D350" s="128"/>
      <c r="E350" s="128"/>
      <c r="F350" s="128"/>
      <c r="G350" s="128"/>
      <c r="H350" s="128"/>
      <c r="I350" s="12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</row>
    <row r="351" ht="10.5" customHeight="1">
      <c r="A351" s="127"/>
      <c r="B351" s="118"/>
      <c r="C351" s="128"/>
      <c r="D351" s="128"/>
      <c r="E351" s="128"/>
      <c r="F351" s="128"/>
      <c r="G351" s="128"/>
      <c r="H351" s="128"/>
      <c r="I351" s="12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</row>
    <row r="352" ht="10.5" customHeight="1">
      <c r="A352" s="127"/>
      <c r="B352" s="118"/>
      <c r="C352" s="128"/>
      <c r="D352" s="128"/>
      <c r="E352" s="128"/>
      <c r="F352" s="128"/>
      <c r="G352" s="128"/>
      <c r="H352" s="128"/>
      <c r="I352" s="12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</row>
    <row r="353" ht="10.5" customHeight="1">
      <c r="A353" s="127"/>
      <c r="B353" s="118"/>
      <c r="C353" s="128"/>
      <c r="D353" s="128"/>
      <c r="E353" s="128"/>
      <c r="F353" s="128"/>
      <c r="G353" s="128"/>
      <c r="H353" s="128"/>
      <c r="I353" s="12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</row>
    <row r="354" ht="10.5" customHeight="1">
      <c r="A354" s="127"/>
      <c r="B354" s="118"/>
      <c r="C354" s="128"/>
      <c r="D354" s="128"/>
      <c r="E354" s="128"/>
      <c r="F354" s="128"/>
      <c r="G354" s="128"/>
      <c r="H354" s="128"/>
      <c r="I354" s="12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</row>
    <row r="355" ht="10.5" customHeight="1">
      <c r="A355" s="127"/>
      <c r="B355" s="118"/>
      <c r="C355" s="128"/>
      <c r="D355" s="128"/>
      <c r="E355" s="128"/>
      <c r="F355" s="128"/>
      <c r="G355" s="128"/>
      <c r="H355" s="128"/>
      <c r="I355" s="12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</row>
    <row r="356" ht="10.5" customHeight="1">
      <c r="A356" s="127"/>
      <c r="B356" s="118"/>
      <c r="C356" s="128"/>
      <c r="D356" s="128"/>
      <c r="E356" s="128"/>
      <c r="F356" s="128"/>
      <c r="G356" s="128"/>
      <c r="H356" s="128"/>
      <c r="I356" s="12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</row>
    <row r="357" ht="10.5" customHeight="1">
      <c r="A357" s="127"/>
      <c r="B357" s="118"/>
      <c r="C357" s="128"/>
      <c r="D357" s="128"/>
      <c r="E357" s="128"/>
      <c r="F357" s="128"/>
      <c r="G357" s="128"/>
      <c r="H357" s="128"/>
      <c r="I357" s="12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</row>
    <row r="358" ht="10.5" customHeight="1">
      <c r="A358" s="127"/>
      <c r="B358" s="118"/>
      <c r="C358" s="128"/>
      <c r="D358" s="128"/>
      <c r="E358" s="128"/>
      <c r="F358" s="128"/>
      <c r="G358" s="128"/>
      <c r="H358" s="128"/>
      <c r="I358" s="12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</row>
    <row r="359" ht="10.5" customHeight="1">
      <c r="A359" s="127"/>
      <c r="B359" s="118"/>
      <c r="C359" s="128"/>
      <c r="D359" s="128"/>
      <c r="E359" s="128"/>
      <c r="F359" s="128"/>
      <c r="G359" s="128"/>
      <c r="H359" s="128"/>
      <c r="I359" s="12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</row>
    <row r="360" ht="10.5" customHeight="1">
      <c r="A360" s="127"/>
      <c r="B360" s="118"/>
      <c r="C360" s="128"/>
      <c r="D360" s="128"/>
      <c r="E360" s="128"/>
      <c r="F360" s="128"/>
      <c r="G360" s="128"/>
      <c r="H360" s="128"/>
      <c r="I360" s="12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</row>
    <row r="361" ht="10.5" customHeight="1">
      <c r="A361" s="127"/>
      <c r="B361" s="118"/>
      <c r="C361" s="128"/>
      <c r="D361" s="128"/>
      <c r="E361" s="128"/>
      <c r="F361" s="128"/>
      <c r="G361" s="128"/>
      <c r="H361" s="128"/>
      <c r="I361" s="12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</row>
    <row r="362" ht="10.5" customHeight="1">
      <c r="A362" s="127"/>
      <c r="B362" s="118"/>
      <c r="C362" s="128"/>
      <c r="D362" s="128"/>
      <c r="E362" s="128"/>
      <c r="F362" s="128"/>
      <c r="G362" s="128"/>
      <c r="H362" s="128"/>
      <c r="I362" s="12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</row>
    <row r="363" ht="10.5" customHeight="1">
      <c r="A363" s="127"/>
      <c r="B363" s="118"/>
      <c r="C363" s="128"/>
      <c r="D363" s="128"/>
      <c r="E363" s="128"/>
      <c r="F363" s="128"/>
      <c r="G363" s="128"/>
      <c r="H363" s="128"/>
      <c r="I363" s="12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</row>
    <row r="364" ht="10.5" customHeight="1">
      <c r="A364" s="127"/>
      <c r="B364" s="118"/>
      <c r="C364" s="128"/>
      <c r="D364" s="128"/>
      <c r="E364" s="128"/>
      <c r="F364" s="128"/>
      <c r="G364" s="128"/>
      <c r="H364" s="128"/>
      <c r="I364" s="12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</row>
    <row r="365" ht="10.5" customHeight="1">
      <c r="A365" s="127"/>
      <c r="B365" s="118"/>
      <c r="C365" s="128"/>
      <c r="D365" s="128"/>
      <c r="E365" s="128"/>
      <c r="F365" s="128"/>
      <c r="G365" s="128"/>
      <c r="H365" s="128"/>
      <c r="I365" s="12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</row>
    <row r="366" ht="10.5" customHeight="1">
      <c r="A366" s="127"/>
      <c r="B366" s="118"/>
      <c r="C366" s="128"/>
      <c r="D366" s="128"/>
      <c r="E366" s="128"/>
      <c r="F366" s="128"/>
      <c r="G366" s="128"/>
      <c r="H366" s="128"/>
      <c r="I366" s="12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</row>
    <row r="367" ht="10.5" customHeight="1">
      <c r="A367" s="127"/>
      <c r="B367" s="118"/>
      <c r="C367" s="128"/>
      <c r="D367" s="128"/>
      <c r="E367" s="128"/>
      <c r="F367" s="128"/>
      <c r="G367" s="128"/>
      <c r="H367" s="128"/>
      <c r="I367" s="12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</row>
    <row r="368" ht="10.5" customHeight="1">
      <c r="A368" s="127"/>
      <c r="B368" s="118"/>
      <c r="C368" s="128"/>
      <c r="D368" s="128"/>
      <c r="E368" s="128"/>
      <c r="F368" s="128"/>
      <c r="G368" s="128"/>
      <c r="H368" s="128"/>
      <c r="I368" s="12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</row>
    <row r="369" ht="10.5" customHeight="1">
      <c r="A369" s="127"/>
      <c r="B369" s="118"/>
      <c r="C369" s="128"/>
      <c r="D369" s="128"/>
      <c r="E369" s="128"/>
      <c r="F369" s="128"/>
      <c r="G369" s="128"/>
      <c r="H369" s="128"/>
      <c r="I369" s="12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</row>
    <row r="370" ht="10.5" customHeight="1">
      <c r="A370" s="127"/>
      <c r="B370" s="118"/>
      <c r="C370" s="128"/>
      <c r="D370" s="128"/>
      <c r="E370" s="128"/>
      <c r="F370" s="128"/>
      <c r="G370" s="128"/>
      <c r="H370" s="128"/>
      <c r="I370" s="12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</row>
    <row r="371" ht="10.5" customHeight="1">
      <c r="A371" s="127"/>
      <c r="B371" s="118"/>
      <c r="C371" s="128"/>
      <c r="D371" s="128"/>
      <c r="E371" s="128"/>
      <c r="F371" s="128"/>
      <c r="G371" s="128"/>
      <c r="H371" s="128"/>
      <c r="I371" s="12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</row>
    <row r="372" ht="10.5" customHeight="1">
      <c r="A372" s="127"/>
      <c r="B372" s="118"/>
      <c r="C372" s="128"/>
      <c r="D372" s="128"/>
      <c r="E372" s="128"/>
      <c r="F372" s="128"/>
      <c r="G372" s="128"/>
      <c r="H372" s="128"/>
      <c r="I372" s="12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</row>
    <row r="373" ht="10.5" customHeight="1">
      <c r="A373" s="127"/>
      <c r="B373" s="118"/>
      <c r="C373" s="128"/>
      <c r="D373" s="128"/>
      <c r="E373" s="128"/>
      <c r="F373" s="128"/>
      <c r="G373" s="128"/>
      <c r="H373" s="128"/>
      <c r="I373" s="12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</row>
    <row r="374" ht="10.5" customHeight="1">
      <c r="A374" s="127"/>
      <c r="B374" s="118"/>
      <c r="C374" s="128"/>
      <c r="D374" s="128"/>
      <c r="E374" s="128"/>
      <c r="F374" s="128"/>
      <c r="G374" s="128"/>
      <c r="H374" s="128"/>
      <c r="I374" s="12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</row>
    <row r="375" ht="10.5" customHeight="1">
      <c r="A375" s="127"/>
      <c r="B375" s="118"/>
      <c r="C375" s="128"/>
      <c r="D375" s="128"/>
      <c r="E375" s="128"/>
      <c r="F375" s="128"/>
      <c r="G375" s="128"/>
      <c r="H375" s="128"/>
      <c r="I375" s="12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</row>
    <row r="376" ht="10.5" customHeight="1">
      <c r="A376" s="127"/>
      <c r="B376" s="118"/>
      <c r="C376" s="128"/>
      <c r="D376" s="128"/>
      <c r="E376" s="128"/>
      <c r="F376" s="128"/>
      <c r="G376" s="128"/>
      <c r="H376" s="128"/>
      <c r="I376" s="12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</row>
    <row r="377" ht="10.5" customHeight="1">
      <c r="A377" s="127"/>
      <c r="B377" s="118"/>
      <c r="C377" s="128"/>
      <c r="D377" s="128"/>
      <c r="E377" s="128"/>
      <c r="F377" s="128"/>
      <c r="G377" s="128"/>
      <c r="H377" s="128"/>
      <c r="I377" s="12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</row>
    <row r="378" ht="10.5" customHeight="1">
      <c r="A378" s="127"/>
      <c r="B378" s="118"/>
      <c r="C378" s="128"/>
      <c r="D378" s="128"/>
      <c r="E378" s="128"/>
      <c r="F378" s="128"/>
      <c r="G378" s="128"/>
      <c r="H378" s="128"/>
      <c r="I378" s="12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</row>
    <row r="379" ht="10.5" customHeight="1">
      <c r="A379" s="127"/>
      <c r="B379" s="118"/>
      <c r="C379" s="128"/>
      <c r="D379" s="128"/>
      <c r="E379" s="128"/>
      <c r="F379" s="128"/>
      <c r="G379" s="128"/>
      <c r="H379" s="128"/>
      <c r="I379" s="12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</row>
    <row r="380" ht="10.5" customHeight="1">
      <c r="A380" s="127"/>
      <c r="B380" s="118"/>
      <c r="C380" s="128"/>
      <c r="D380" s="128"/>
      <c r="E380" s="128"/>
      <c r="F380" s="128"/>
      <c r="G380" s="128"/>
      <c r="H380" s="128"/>
      <c r="I380" s="12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</row>
    <row r="381" ht="10.5" customHeight="1">
      <c r="A381" s="127"/>
      <c r="B381" s="118"/>
      <c r="C381" s="128"/>
      <c r="D381" s="128"/>
      <c r="E381" s="128"/>
      <c r="F381" s="128"/>
      <c r="G381" s="128"/>
      <c r="H381" s="128"/>
      <c r="I381" s="12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</row>
    <row r="382" ht="10.5" customHeight="1">
      <c r="A382" s="127"/>
      <c r="B382" s="118"/>
      <c r="C382" s="128"/>
      <c r="D382" s="128"/>
      <c r="E382" s="128"/>
      <c r="F382" s="128"/>
      <c r="G382" s="128"/>
      <c r="H382" s="128"/>
      <c r="I382" s="12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</row>
    <row r="383" ht="10.5" customHeight="1">
      <c r="A383" s="127"/>
      <c r="B383" s="118"/>
      <c r="C383" s="128"/>
      <c r="D383" s="128"/>
      <c r="E383" s="128"/>
      <c r="F383" s="128"/>
      <c r="G383" s="128"/>
      <c r="H383" s="128"/>
      <c r="I383" s="12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</row>
    <row r="384" ht="10.5" customHeight="1">
      <c r="A384" s="127"/>
      <c r="B384" s="118"/>
      <c r="C384" s="128"/>
      <c r="D384" s="128"/>
      <c r="E384" s="128"/>
      <c r="F384" s="128"/>
      <c r="G384" s="128"/>
      <c r="H384" s="128"/>
      <c r="I384" s="12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</row>
    <row r="385" ht="10.5" customHeight="1">
      <c r="A385" s="127"/>
      <c r="B385" s="118"/>
      <c r="C385" s="128"/>
      <c r="D385" s="128"/>
      <c r="E385" s="128"/>
      <c r="F385" s="128"/>
      <c r="G385" s="128"/>
      <c r="H385" s="128"/>
      <c r="I385" s="12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</row>
    <row r="386" ht="10.5" customHeight="1">
      <c r="A386" s="127"/>
      <c r="B386" s="118"/>
      <c r="C386" s="128"/>
      <c r="D386" s="128"/>
      <c r="E386" s="128"/>
      <c r="F386" s="128"/>
      <c r="G386" s="128"/>
      <c r="H386" s="128"/>
      <c r="I386" s="12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</row>
    <row r="387" ht="10.5" customHeight="1">
      <c r="A387" s="127"/>
      <c r="B387" s="118"/>
      <c r="C387" s="128"/>
      <c r="D387" s="128"/>
      <c r="E387" s="128"/>
      <c r="F387" s="128"/>
      <c r="G387" s="128"/>
      <c r="H387" s="128"/>
      <c r="I387" s="12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</row>
    <row r="388" ht="10.5" customHeight="1">
      <c r="A388" s="127"/>
      <c r="B388" s="118"/>
      <c r="C388" s="128"/>
      <c r="D388" s="128"/>
      <c r="E388" s="128"/>
      <c r="F388" s="128"/>
      <c r="G388" s="128"/>
      <c r="H388" s="128"/>
      <c r="I388" s="12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</row>
    <row r="389" ht="10.5" customHeight="1">
      <c r="A389" s="127"/>
      <c r="B389" s="118"/>
      <c r="C389" s="128"/>
      <c r="D389" s="128"/>
      <c r="E389" s="128"/>
      <c r="F389" s="128"/>
      <c r="G389" s="128"/>
      <c r="H389" s="128"/>
      <c r="I389" s="12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</row>
    <row r="390" ht="10.5" customHeight="1">
      <c r="A390" s="127"/>
      <c r="B390" s="118"/>
      <c r="C390" s="128"/>
      <c r="D390" s="128"/>
      <c r="E390" s="128"/>
      <c r="F390" s="128"/>
      <c r="G390" s="128"/>
      <c r="H390" s="128"/>
      <c r="I390" s="12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</row>
    <row r="391" ht="10.5" customHeight="1">
      <c r="A391" s="127"/>
      <c r="B391" s="118"/>
      <c r="C391" s="128"/>
      <c r="D391" s="128"/>
      <c r="E391" s="128"/>
      <c r="F391" s="128"/>
      <c r="G391" s="128"/>
      <c r="H391" s="128"/>
      <c r="I391" s="12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</row>
    <row r="392" ht="10.5" customHeight="1">
      <c r="A392" s="127"/>
      <c r="B392" s="118"/>
      <c r="C392" s="128"/>
      <c r="D392" s="128"/>
      <c r="E392" s="128"/>
      <c r="F392" s="128"/>
      <c r="G392" s="128"/>
      <c r="H392" s="128"/>
      <c r="I392" s="12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</row>
    <row r="393" ht="10.5" customHeight="1">
      <c r="A393" s="127"/>
      <c r="B393" s="118"/>
      <c r="C393" s="128"/>
      <c r="D393" s="128"/>
      <c r="E393" s="128"/>
      <c r="F393" s="128"/>
      <c r="G393" s="128"/>
      <c r="H393" s="128"/>
      <c r="I393" s="12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</row>
    <row r="394" ht="10.5" customHeight="1">
      <c r="A394" s="127"/>
      <c r="B394" s="118"/>
      <c r="C394" s="128"/>
      <c r="D394" s="128"/>
      <c r="E394" s="128"/>
      <c r="F394" s="128"/>
      <c r="G394" s="128"/>
      <c r="H394" s="128"/>
      <c r="I394" s="12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</row>
    <row r="395" ht="10.5" customHeight="1">
      <c r="A395" s="127"/>
      <c r="B395" s="118"/>
      <c r="C395" s="128"/>
      <c r="D395" s="128"/>
      <c r="E395" s="128"/>
      <c r="F395" s="128"/>
      <c r="G395" s="128"/>
      <c r="H395" s="128"/>
      <c r="I395" s="12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</row>
    <row r="396" ht="10.5" customHeight="1">
      <c r="A396" s="127"/>
      <c r="B396" s="118"/>
      <c r="C396" s="128"/>
      <c r="D396" s="128"/>
      <c r="E396" s="128"/>
      <c r="F396" s="128"/>
      <c r="G396" s="128"/>
      <c r="H396" s="128"/>
      <c r="I396" s="12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</row>
    <row r="397" ht="10.5" customHeight="1">
      <c r="A397" s="127"/>
      <c r="B397" s="118"/>
      <c r="C397" s="128"/>
      <c r="D397" s="128"/>
      <c r="E397" s="128"/>
      <c r="F397" s="128"/>
      <c r="G397" s="128"/>
      <c r="H397" s="128"/>
      <c r="I397" s="12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</row>
    <row r="398" ht="10.5" customHeight="1">
      <c r="A398" s="127"/>
      <c r="B398" s="118"/>
      <c r="C398" s="128"/>
      <c r="D398" s="128"/>
      <c r="E398" s="128"/>
      <c r="F398" s="128"/>
      <c r="G398" s="128"/>
      <c r="H398" s="128"/>
      <c r="I398" s="12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</row>
    <row r="399" ht="10.5" customHeight="1">
      <c r="A399" s="127"/>
      <c r="B399" s="118"/>
      <c r="C399" s="128"/>
      <c r="D399" s="128"/>
      <c r="E399" s="128"/>
      <c r="F399" s="128"/>
      <c r="G399" s="128"/>
      <c r="H399" s="128"/>
      <c r="I399" s="12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</row>
    <row r="400" ht="10.5" customHeight="1">
      <c r="A400" s="127"/>
      <c r="B400" s="118"/>
      <c r="C400" s="128"/>
      <c r="D400" s="128"/>
      <c r="E400" s="128"/>
      <c r="F400" s="128"/>
      <c r="G400" s="128"/>
      <c r="H400" s="128"/>
      <c r="I400" s="12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</row>
    <row r="401" ht="10.5" customHeight="1">
      <c r="A401" s="127"/>
      <c r="B401" s="118"/>
      <c r="C401" s="128"/>
      <c r="D401" s="128"/>
      <c r="E401" s="128"/>
      <c r="F401" s="128"/>
      <c r="G401" s="128"/>
      <c r="H401" s="128"/>
      <c r="I401" s="12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</row>
    <row r="402" ht="10.5" customHeight="1">
      <c r="A402" s="127"/>
      <c r="B402" s="118"/>
      <c r="C402" s="128"/>
      <c r="D402" s="128"/>
      <c r="E402" s="128"/>
      <c r="F402" s="128"/>
      <c r="G402" s="128"/>
      <c r="H402" s="128"/>
      <c r="I402" s="12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</row>
    <row r="403" ht="10.5" customHeight="1">
      <c r="A403" s="127"/>
      <c r="B403" s="118"/>
      <c r="C403" s="128"/>
      <c r="D403" s="128"/>
      <c r="E403" s="128"/>
      <c r="F403" s="128"/>
      <c r="G403" s="128"/>
      <c r="H403" s="128"/>
      <c r="I403" s="12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</row>
    <row r="404" ht="10.5" customHeight="1">
      <c r="A404" s="127"/>
      <c r="B404" s="118"/>
      <c r="C404" s="128"/>
      <c r="D404" s="128"/>
      <c r="E404" s="128"/>
      <c r="F404" s="128"/>
      <c r="G404" s="128"/>
      <c r="H404" s="128"/>
      <c r="I404" s="12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</row>
    <row r="405" ht="10.5" customHeight="1">
      <c r="A405" s="127"/>
      <c r="B405" s="118"/>
      <c r="C405" s="128"/>
      <c r="D405" s="128"/>
      <c r="E405" s="128"/>
      <c r="F405" s="128"/>
      <c r="G405" s="128"/>
      <c r="H405" s="128"/>
      <c r="I405" s="12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</row>
    <row r="406" ht="10.5" customHeight="1">
      <c r="A406" s="127"/>
      <c r="B406" s="118"/>
      <c r="C406" s="128"/>
      <c r="D406" s="128"/>
      <c r="E406" s="128"/>
      <c r="F406" s="128"/>
      <c r="G406" s="128"/>
      <c r="H406" s="128"/>
      <c r="I406" s="12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</row>
    <row r="407" ht="10.5" customHeight="1">
      <c r="A407" s="127"/>
      <c r="B407" s="118"/>
      <c r="C407" s="128"/>
      <c r="D407" s="128"/>
      <c r="E407" s="128"/>
      <c r="F407" s="128"/>
      <c r="G407" s="128"/>
      <c r="H407" s="128"/>
      <c r="I407" s="12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</row>
    <row r="408" ht="10.5" customHeight="1">
      <c r="A408" s="127"/>
      <c r="B408" s="118"/>
      <c r="C408" s="128"/>
      <c r="D408" s="128"/>
      <c r="E408" s="128"/>
      <c r="F408" s="128"/>
      <c r="G408" s="128"/>
      <c r="H408" s="128"/>
      <c r="I408" s="12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</row>
    <row r="409" ht="10.5" customHeight="1">
      <c r="A409" s="127"/>
      <c r="B409" s="118"/>
      <c r="C409" s="128"/>
      <c r="D409" s="128"/>
      <c r="E409" s="128"/>
      <c r="F409" s="128"/>
      <c r="G409" s="128"/>
      <c r="H409" s="128"/>
      <c r="I409" s="12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</row>
    <row r="410" ht="10.5" customHeight="1">
      <c r="A410" s="127"/>
      <c r="B410" s="118"/>
      <c r="C410" s="128"/>
      <c r="D410" s="128"/>
      <c r="E410" s="128"/>
      <c r="F410" s="128"/>
      <c r="G410" s="128"/>
      <c r="H410" s="128"/>
      <c r="I410" s="12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</row>
    <row r="411" ht="10.5" customHeight="1">
      <c r="A411" s="127"/>
      <c r="B411" s="118"/>
      <c r="C411" s="128"/>
      <c r="D411" s="128"/>
      <c r="E411" s="128"/>
      <c r="F411" s="128"/>
      <c r="G411" s="128"/>
      <c r="H411" s="128"/>
      <c r="I411" s="12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</row>
    <row r="412" ht="10.5" customHeight="1">
      <c r="A412" s="127"/>
      <c r="B412" s="118"/>
      <c r="C412" s="128"/>
      <c r="D412" s="128"/>
      <c r="E412" s="128"/>
      <c r="F412" s="128"/>
      <c r="G412" s="128"/>
      <c r="H412" s="128"/>
      <c r="I412" s="12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</row>
    <row r="413" ht="10.5" customHeight="1">
      <c r="A413" s="127"/>
      <c r="B413" s="118"/>
      <c r="C413" s="128"/>
      <c r="D413" s="128"/>
      <c r="E413" s="128"/>
      <c r="F413" s="128"/>
      <c r="G413" s="128"/>
      <c r="H413" s="128"/>
      <c r="I413" s="12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</row>
    <row r="414" ht="10.5" customHeight="1">
      <c r="A414" s="127"/>
      <c r="B414" s="118"/>
      <c r="C414" s="128"/>
      <c r="D414" s="128"/>
      <c r="E414" s="128"/>
      <c r="F414" s="128"/>
      <c r="G414" s="128"/>
      <c r="H414" s="128"/>
      <c r="I414" s="12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</row>
    <row r="415" ht="10.5" customHeight="1">
      <c r="A415" s="127"/>
      <c r="B415" s="118"/>
      <c r="C415" s="128"/>
      <c r="D415" s="128"/>
      <c r="E415" s="128"/>
      <c r="F415" s="128"/>
      <c r="G415" s="128"/>
      <c r="H415" s="128"/>
      <c r="I415" s="12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</row>
    <row r="416" ht="10.5" customHeight="1">
      <c r="A416" s="127"/>
      <c r="B416" s="118"/>
      <c r="C416" s="128"/>
      <c r="D416" s="128"/>
      <c r="E416" s="128"/>
      <c r="F416" s="128"/>
      <c r="G416" s="128"/>
      <c r="H416" s="128"/>
      <c r="I416" s="12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</row>
    <row r="417" ht="10.5" customHeight="1">
      <c r="A417" s="127"/>
      <c r="B417" s="118"/>
      <c r="C417" s="128"/>
      <c r="D417" s="128"/>
      <c r="E417" s="128"/>
      <c r="F417" s="128"/>
      <c r="G417" s="128"/>
      <c r="H417" s="128"/>
      <c r="I417" s="12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</row>
    <row r="418" ht="10.5" customHeight="1">
      <c r="A418" s="127"/>
      <c r="B418" s="118"/>
      <c r="C418" s="128"/>
      <c r="D418" s="128"/>
      <c r="E418" s="128"/>
      <c r="F418" s="128"/>
      <c r="G418" s="128"/>
      <c r="H418" s="128"/>
      <c r="I418" s="12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</row>
    <row r="419" ht="10.5" customHeight="1">
      <c r="A419" s="127"/>
      <c r="B419" s="118"/>
      <c r="C419" s="128"/>
      <c r="D419" s="128"/>
      <c r="E419" s="128"/>
      <c r="F419" s="128"/>
      <c r="G419" s="128"/>
      <c r="H419" s="128"/>
      <c r="I419" s="12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</row>
    <row r="420" ht="10.5" customHeight="1">
      <c r="A420" s="127"/>
      <c r="B420" s="118"/>
      <c r="C420" s="128"/>
      <c r="D420" s="128"/>
      <c r="E420" s="128"/>
      <c r="F420" s="128"/>
      <c r="G420" s="128"/>
      <c r="H420" s="128"/>
      <c r="I420" s="12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</row>
    <row r="421" ht="10.5" customHeight="1">
      <c r="A421" s="127"/>
      <c r="B421" s="118"/>
      <c r="C421" s="128"/>
      <c r="D421" s="128"/>
      <c r="E421" s="128"/>
      <c r="F421" s="128"/>
      <c r="G421" s="128"/>
      <c r="H421" s="128"/>
      <c r="I421" s="12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</row>
    <row r="422" ht="10.5" customHeight="1">
      <c r="A422" s="127"/>
      <c r="B422" s="118"/>
      <c r="C422" s="128"/>
      <c r="D422" s="128"/>
      <c r="E422" s="128"/>
      <c r="F422" s="128"/>
      <c r="G422" s="128"/>
      <c r="H422" s="128"/>
      <c r="I422" s="12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</row>
    <row r="423" ht="10.5" customHeight="1">
      <c r="A423" s="127"/>
      <c r="B423" s="118"/>
      <c r="C423" s="128"/>
      <c r="D423" s="128"/>
      <c r="E423" s="128"/>
      <c r="F423" s="128"/>
      <c r="G423" s="128"/>
      <c r="H423" s="128"/>
      <c r="I423" s="12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</row>
    <row r="424" ht="10.5" customHeight="1">
      <c r="A424" s="127"/>
      <c r="B424" s="118"/>
      <c r="C424" s="128"/>
      <c r="D424" s="128"/>
      <c r="E424" s="128"/>
      <c r="F424" s="128"/>
      <c r="G424" s="128"/>
      <c r="H424" s="128"/>
      <c r="I424" s="12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</row>
    <row r="425" ht="10.5" customHeight="1">
      <c r="A425" s="127"/>
      <c r="B425" s="118"/>
      <c r="C425" s="128"/>
      <c r="D425" s="128"/>
      <c r="E425" s="128"/>
      <c r="F425" s="128"/>
      <c r="G425" s="128"/>
      <c r="H425" s="128"/>
      <c r="I425" s="12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</row>
    <row r="426" ht="10.5" customHeight="1">
      <c r="A426" s="127"/>
      <c r="B426" s="118"/>
      <c r="C426" s="128"/>
      <c r="D426" s="128"/>
      <c r="E426" s="128"/>
      <c r="F426" s="128"/>
      <c r="G426" s="128"/>
      <c r="H426" s="128"/>
      <c r="I426" s="12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</row>
    <row r="427" ht="10.5" customHeight="1">
      <c r="A427" s="127"/>
      <c r="B427" s="118"/>
      <c r="C427" s="128"/>
      <c r="D427" s="128"/>
      <c r="E427" s="128"/>
      <c r="F427" s="128"/>
      <c r="G427" s="128"/>
      <c r="H427" s="128"/>
      <c r="I427" s="12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</row>
    <row r="428" ht="10.5" customHeight="1">
      <c r="A428" s="127"/>
      <c r="B428" s="118"/>
      <c r="C428" s="128"/>
      <c r="D428" s="128"/>
      <c r="E428" s="128"/>
      <c r="F428" s="128"/>
      <c r="G428" s="128"/>
      <c r="H428" s="128"/>
      <c r="I428" s="12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</row>
    <row r="429" ht="10.5" customHeight="1">
      <c r="A429" s="127"/>
      <c r="B429" s="118"/>
      <c r="C429" s="128"/>
      <c r="D429" s="128"/>
      <c r="E429" s="128"/>
      <c r="F429" s="128"/>
      <c r="G429" s="128"/>
      <c r="H429" s="128"/>
      <c r="I429" s="12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</row>
    <row r="430" ht="10.5" customHeight="1">
      <c r="A430" s="127"/>
      <c r="B430" s="118"/>
      <c r="C430" s="128"/>
      <c r="D430" s="128"/>
      <c r="E430" s="128"/>
      <c r="F430" s="128"/>
      <c r="G430" s="128"/>
      <c r="H430" s="128"/>
      <c r="I430" s="12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</row>
    <row r="431" ht="10.5" customHeight="1">
      <c r="A431" s="127"/>
      <c r="B431" s="118"/>
      <c r="C431" s="128"/>
      <c r="D431" s="128"/>
      <c r="E431" s="128"/>
      <c r="F431" s="128"/>
      <c r="G431" s="128"/>
      <c r="H431" s="128"/>
      <c r="I431" s="12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</row>
    <row r="432" ht="10.5" customHeight="1">
      <c r="A432" s="127"/>
      <c r="B432" s="118"/>
      <c r="C432" s="128"/>
      <c r="D432" s="128"/>
      <c r="E432" s="128"/>
      <c r="F432" s="128"/>
      <c r="G432" s="128"/>
      <c r="H432" s="128"/>
      <c r="I432" s="12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</row>
    <row r="433" ht="10.5" customHeight="1">
      <c r="A433" s="127"/>
      <c r="B433" s="118"/>
      <c r="C433" s="128"/>
      <c r="D433" s="128"/>
      <c r="E433" s="128"/>
      <c r="F433" s="128"/>
      <c r="G433" s="128"/>
      <c r="H433" s="128"/>
      <c r="I433" s="12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</row>
    <row r="434" ht="10.5" customHeight="1">
      <c r="A434" s="127"/>
      <c r="B434" s="118"/>
      <c r="C434" s="128"/>
      <c r="D434" s="128"/>
      <c r="E434" s="128"/>
      <c r="F434" s="128"/>
      <c r="G434" s="128"/>
      <c r="H434" s="128"/>
      <c r="I434" s="12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</row>
    <row r="435" ht="10.5" customHeight="1">
      <c r="A435" s="127"/>
      <c r="B435" s="118"/>
      <c r="C435" s="128"/>
      <c r="D435" s="128"/>
      <c r="E435" s="128"/>
      <c r="F435" s="128"/>
      <c r="G435" s="128"/>
      <c r="H435" s="128"/>
      <c r="I435" s="12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</row>
    <row r="436" ht="10.5" customHeight="1">
      <c r="A436" s="127"/>
      <c r="B436" s="118"/>
      <c r="C436" s="128"/>
      <c r="D436" s="128"/>
      <c r="E436" s="128"/>
      <c r="F436" s="128"/>
      <c r="G436" s="128"/>
      <c r="H436" s="128"/>
      <c r="I436" s="12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</row>
    <row r="437" ht="10.5" customHeight="1">
      <c r="A437" s="127"/>
      <c r="B437" s="118"/>
      <c r="C437" s="128"/>
      <c r="D437" s="128"/>
      <c r="E437" s="128"/>
      <c r="F437" s="128"/>
      <c r="G437" s="128"/>
      <c r="H437" s="128"/>
      <c r="I437" s="12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</row>
    <row r="438" ht="10.5" customHeight="1">
      <c r="A438" s="127"/>
      <c r="B438" s="118"/>
      <c r="C438" s="128"/>
      <c r="D438" s="128"/>
      <c r="E438" s="128"/>
      <c r="F438" s="128"/>
      <c r="G438" s="128"/>
      <c r="H438" s="128"/>
      <c r="I438" s="12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</row>
    <row r="439" ht="10.5" customHeight="1">
      <c r="A439" s="127"/>
      <c r="B439" s="118"/>
      <c r="C439" s="128"/>
      <c r="D439" s="128"/>
      <c r="E439" s="128"/>
      <c r="F439" s="128"/>
      <c r="G439" s="128"/>
      <c r="H439" s="128"/>
      <c r="I439" s="12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</row>
    <row r="440" ht="10.5" customHeight="1">
      <c r="A440" s="127"/>
      <c r="B440" s="118"/>
      <c r="C440" s="128"/>
      <c r="D440" s="128"/>
      <c r="E440" s="128"/>
      <c r="F440" s="128"/>
      <c r="G440" s="128"/>
      <c r="H440" s="128"/>
      <c r="I440" s="12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</row>
    <row r="441" ht="10.5" customHeight="1">
      <c r="A441" s="127"/>
      <c r="B441" s="118"/>
      <c r="C441" s="128"/>
      <c r="D441" s="128"/>
      <c r="E441" s="128"/>
      <c r="F441" s="128"/>
      <c r="G441" s="128"/>
      <c r="H441" s="128"/>
      <c r="I441" s="12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</row>
    <row r="442" ht="10.5" customHeight="1">
      <c r="A442" s="127"/>
      <c r="B442" s="118"/>
      <c r="C442" s="128"/>
      <c r="D442" s="128"/>
      <c r="E442" s="128"/>
      <c r="F442" s="128"/>
      <c r="G442" s="128"/>
      <c r="H442" s="128"/>
      <c r="I442" s="12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</row>
    <row r="443" ht="10.5" customHeight="1">
      <c r="A443" s="127"/>
      <c r="B443" s="118"/>
      <c r="C443" s="128"/>
      <c r="D443" s="128"/>
      <c r="E443" s="128"/>
      <c r="F443" s="128"/>
      <c r="G443" s="128"/>
      <c r="H443" s="128"/>
      <c r="I443" s="12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</row>
    <row r="444" ht="10.5" customHeight="1">
      <c r="A444" s="127"/>
      <c r="B444" s="118"/>
      <c r="C444" s="128"/>
      <c r="D444" s="128"/>
      <c r="E444" s="128"/>
      <c r="F444" s="128"/>
      <c r="G444" s="128"/>
      <c r="H444" s="128"/>
      <c r="I444" s="12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</row>
    <row r="445" ht="10.5" customHeight="1">
      <c r="A445" s="127"/>
      <c r="B445" s="118"/>
      <c r="C445" s="128"/>
      <c r="D445" s="128"/>
      <c r="E445" s="128"/>
      <c r="F445" s="128"/>
      <c r="G445" s="128"/>
      <c r="H445" s="128"/>
      <c r="I445" s="12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</row>
    <row r="446" ht="10.5" customHeight="1">
      <c r="A446" s="127"/>
      <c r="B446" s="118"/>
      <c r="C446" s="128"/>
      <c r="D446" s="128"/>
      <c r="E446" s="128"/>
      <c r="F446" s="128"/>
      <c r="G446" s="128"/>
      <c r="H446" s="128"/>
      <c r="I446" s="12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</row>
    <row r="447" ht="10.5" customHeight="1">
      <c r="A447" s="127"/>
      <c r="B447" s="118"/>
      <c r="C447" s="128"/>
      <c r="D447" s="128"/>
      <c r="E447" s="128"/>
      <c r="F447" s="128"/>
      <c r="G447" s="128"/>
      <c r="H447" s="128"/>
      <c r="I447" s="12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</row>
    <row r="448" ht="10.5" customHeight="1">
      <c r="A448" s="127"/>
      <c r="B448" s="118"/>
      <c r="C448" s="128"/>
      <c r="D448" s="128"/>
      <c r="E448" s="128"/>
      <c r="F448" s="128"/>
      <c r="G448" s="128"/>
      <c r="H448" s="128"/>
      <c r="I448" s="12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</row>
    <row r="449" ht="10.5" customHeight="1">
      <c r="A449" s="127"/>
      <c r="B449" s="118"/>
      <c r="C449" s="128"/>
      <c r="D449" s="128"/>
      <c r="E449" s="128"/>
      <c r="F449" s="128"/>
      <c r="G449" s="128"/>
      <c r="H449" s="128"/>
      <c r="I449" s="12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</row>
    <row r="450" ht="10.5" customHeight="1">
      <c r="A450" s="127"/>
      <c r="B450" s="118"/>
      <c r="C450" s="128"/>
      <c r="D450" s="128"/>
      <c r="E450" s="128"/>
      <c r="F450" s="128"/>
      <c r="G450" s="128"/>
      <c r="H450" s="128"/>
      <c r="I450" s="12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</row>
    <row r="451" ht="10.5" customHeight="1">
      <c r="A451" s="127"/>
      <c r="B451" s="118"/>
      <c r="C451" s="128"/>
      <c r="D451" s="128"/>
      <c r="E451" s="128"/>
      <c r="F451" s="128"/>
      <c r="G451" s="128"/>
      <c r="H451" s="128"/>
      <c r="I451" s="12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</row>
    <row r="452" ht="10.5" customHeight="1">
      <c r="A452" s="127"/>
      <c r="B452" s="118"/>
      <c r="C452" s="128"/>
      <c r="D452" s="128"/>
      <c r="E452" s="128"/>
      <c r="F452" s="128"/>
      <c r="G452" s="128"/>
      <c r="H452" s="128"/>
      <c r="I452" s="12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</row>
    <row r="453" ht="10.5" customHeight="1">
      <c r="A453" s="127"/>
      <c r="B453" s="118"/>
      <c r="C453" s="128"/>
      <c r="D453" s="128"/>
      <c r="E453" s="128"/>
      <c r="F453" s="128"/>
      <c r="G453" s="128"/>
      <c r="H453" s="128"/>
      <c r="I453" s="12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</row>
    <row r="454" ht="10.5" customHeight="1">
      <c r="A454" s="127"/>
      <c r="B454" s="118"/>
      <c r="C454" s="128"/>
      <c r="D454" s="128"/>
      <c r="E454" s="128"/>
      <c r="F454" s="128"/>
      <c r="G454" s="128"/>
      <c r="H454" s="128"/>
      <c r="I454" s="12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</row>
    <row r="455" ht="10.5" customHeight="1">
      <c r="A455" s="127"/>
      <c r="B455" s="118"/>
      <c r="C455" s="128"/>
      <c r="D455" s="128"/>
      <c r="E455" s="128"/>
      <c r="F455" s="128"/>
      <c r="G455" s="128"/>
      <c r="H455" s="128"/>
      <c r="I455" s="12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</row>
    <row r="456" ht="10.5" customHeight="1">
      <c r="A456" s="127"/>
      <c r="B456" s="118"/>
      <c r="C456" s="128"/>
      <c r="D456" s="128"/>
      <c r="E456" s="128"/>
      <c r="F456" s="128"/>
      <c r="G456" s="128"/>
      <c r="H456" s="128"/>
      <c r="I456" s="12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</row>
    <row r="457" ht="10.5" customHeight="1">
      <c r="A457" s="127"/>
      <c r="B457" s="118"/>
      <c r="C457" s="128"/>
      <c r="D457" s="128"/>
      <c r="E457" s="128"/>
      <c r="F457" s="128"/>
      <c r="G457" s="128"/>
      <c r="H457" s="128"/>
      <c r="I457" s="12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</row>
    <row r="458" ht="10.5" customHeight="1">
      <c r="A458" s="127"/>
      <c r="B458" s="118"/>
      <c r="C458" s="128"/>
      <c r="D458" s="128"/>
      <c r="E458" s="128"/>
      <c r="F458" s="128"/>
      <c r="G458" s="128"/>
      <c r="H458" s="128"/>
      <c r="I458" s="12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</row>
    <row r="459" ht="10.5" customHeight="1">
      <c r="A459" s="127"/>
      <c r="B459" s="118"/>
      <c r="C459" s="128"/>
      <c r="D459" s="128"/>
      <c r="E459" s="128"/>
      <c r="F459" s="128"/>
      <c r="G459" s="128"/>
      <c r="H459" s="128"/>
      <c r="I459" s="12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</row>
    <row r="460" ht="10.5" customHeight="1">
      <c r="A460" s="127"/>
      <c r="B460" s="118"/>
      <c r="C460" s="128"/>
      <c r="D460" s="128"/>
      <c r="E460" s="128"/>
      <c r="F460" s="128"/>
      <c r="G460" s="128"/>
      <c r="H460" s="128"/>
      <c r="I460" s="12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</row>
    <row r="461" ht="10.5" customHeight="1">
      <c r="A461" s="127"/>
      <c r="B461" s="118"/>
      <c r="C461" s="128"/>
      <c r="D461" s="128"/>
      <c r="E461" s="128"/>
      <c r="F461" s="128"/>
      <c r="G461" s="128"/>
      <c r="H461" s="128"/>
      <c r="I461" s="12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</row>
    <row r="462" ht="10.5" customHeight="1">
      <c r="A462" s="127"/>
      <c r="B462" s="118"/>
      <c r="C462" s="128"/>
      <c r="D462" s="128"/>
      <c r="E462" s="128"/>
      <c r="F462" s="128"/>
      <c r="G462" s="128"/>
      <c r="H462" s="128"/>
      <c r="I462" s="12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</row>
    <row r="463" ht="10.5" customHeight="1">
      <c r="A463" s="127"/>
      <c r="B463" s="118"/>
      <c r="C463" s="128"/>
      <c r="D463" s="128"/>
      <c r="E463" s="128"/>
      <c r="F463" s="128"/>
      <c r="G463" s="128"/>
      <c r="H463" s="128"/>
      <c r="I463" s="12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</row>
    <row r="464" ht="10.5" customHeight="1">
      <c r="A464" s="127"/>
      <c r="B464" s="118"/>
      <c r="C464" s="128"/>
      <c r="D464" s="128"/>
      <c r="E464" s="128"/>
      <c r="F464" s="128"/>
      <c r="G464" s="128"/>
      <c r="H464" s="128"/>
      <c r="I464" s="12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</row>
    <row r="465" ht="10.5" customHeight="1">
      <c r="A465" s="127"/>
      <c r="B465" s="118"/>
      <c r="C465" s="128"/>
      <c r="D465" s="128"/>
      <c r="E465" s="128"/>
      <c r="F465" s="128"/>
      <c r="G465" s="128"/>
      <c r="H465" s="128"/>
      <c r="I465" s="12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</row>
    <row r="466" ht="10.5" customHeight="1">
      <c r="A466" s="127"/>
      <c r="B466" s="118"/>
      <c r="C466" s="128"/>
      <c r="D466" s="128"/>
      <c r="E466" s="128"/>
      <c r="F466" s="128"/>
      <c r="G466" s="128"/>
      <c r="H466" s="128"/>
      <c r="I466" s="12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</row>
    <row r="467" ht="10.5" customHeight="1">
      <c r="A467" s="127"/>
      <c r="B467" s="118"/>
      <c r="C467" s="128"/>
      <c r="D467" s="128"/>
      <c r="E467" s="128"/>
      <c r="F467" s="128"/>
      <c r="G467" s="128"/>
      <c r="H467" s="128"/>
      <c r="I467" s="12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</row>
    <row r="468" ht="10.5" customHeight="1">
      <c r="A468" s="127"/>
      <c r="B468" s="118"/>
      <c r="C468" s="128"/>
      <c r="D468" s="128"/>
      <c r="E468" s="128"/>
      <c r="F468" s="128"/>
      <c r="G468" s="128"/>
      <c r="H468" s="128"/>
      <c r="I468" s="12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</row>
    <row r="469" ht="10.5" customHeight="1">
      <c r="A469" s="127"/>
      <c r="B469" s="118"/>
      <c r="C469" s="128"/>
      <c r="D469" s="128"/>
      <c r="E469" s="128"/>
      <c r="F469" s="128"/>
      <c r="G469" s="128"/>
      <c r="H469" s="128"/>
      <c r="I469" s="12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</row>
    <row r="470" ht="10.5" customHeight="1">
      <c r="A470" s="127"/>
      <c r="B470" s="118"/>
      <c r="C470" s="128"/>
      <c r="D470" s="128"/>
      <c r="E470" s="128"/>
      <c r="F470" s="128"/>
      <c r="G470" s="128"/>
      <c r="H470" s="128"/>
      <c r="I470" s="12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</row>
    <row r="471" ht="10.5" customHeight="1">
      <c r="A471" s="127"/>
      <c r="B471" s="118"/>
      <c r="C471" s="128"/>
      <c r="D471" s="128"/>
      <c r="E471" s="128"/>
      <c r="F471" s="128"/>
      <c r="G471" s="128"/>
      <c r="H471" s="128"/>
      <c r="I471" s="12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</row>
    <row r="472" ht="10.5" customHeight="1">
      <c r="A472" s="127"/>
      <c r="B472" s="118"/>
      <c r="C472" s="128"/>
      <c r="D472" s="128"/>
      <c r="E472" s="128"/>
      <c r="F472" s="128"/>
      <c r="G472" s="128"/>
      <c r="H472" s="128"/>
      <c r="I472" s="12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</row>
    <row r="473" ht="10.5" customHeight="1">
      <c r="A473" s="127"/>
      <c r="B473" s="118"/>
      <c r="C473" s="128"/>
      <c r="D473" s="128"/>
      <c r="E473" s="128"/>
      <c r="F473" s="128"/>
      <c r="G473" s="128"/>
      <c r="H473" s="128"/>
      <c r="I473" s="12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</row>
    <row r="474" ht="10.5" customHeight="1">
      <c r="A474" s="127"/>
      <c r="B474" s="118"/>
      <c r="C474" s="128"/>
      <c r="D474" s="128"/>
      <c r="E474" s="128"/>
      <c r="F474" s="128"/>
      <c r="G474" s="128"/>
      <c r="H474" s="128"/>
      <c r="I474" s="12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</row>
    <row r="475" ht="10.5" customHeight="1">
      <c r="A475" s="127"/>
      <c r="B475" s="118"/>
      <c r="C475" s="128"/>
      <c r="D475" s="128"/>
      <c r="E475" s="128"/>
      <c r="F475" s="128"/>
      <c r="G475" s="128"/>
      <c r="H475" s="128"/>
      <c r="I475" s="12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</row>
    <row r="476" ht="10.5" customHeight="1">
      <c r="A476" s="127"/>
      <c r="B476" s="118"/>
      <c r="C476" s="128"/>
      <c r="D476" s="128"/>
      <c r="E476" s="128"/>
      <c r="F476" s="128"/>
      <c r="G476" s="128"/>
      <c r="H476" s="128"/>
      <c r="I476" s="12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</row>
    <row r="477" ht="10.5" customHeight="1">
      <c r="A477" s="127"/>
      <c r="B477" s="118"/>
      <c r="C477" s="128"/>
      <c r="D477" s="128"/>
      <c r="E477" s="128"/>
      <c r="F477" s="128"/>
      <c r="G477" s="128"/>
      <c r="H477" s="128"/>
      <c r="I477" s="12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</row>
    <row r="478" ht="10.5" customHeight="1">
      <c r="A478" s="127"/>
      <c r="B478" s="118"/>
      <c r="C478" s="128"/>
      <c r="D478" s="128"/>
      <c r="E478" s="128"/>
      <c r="F478" s="128"/>
      <c r="G478" s="128"/>
      <c r="H478" s="128"/>
      <c r="I478" s="12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</row>
    <row r="479" ht="10.5" customHeight="1">
      <c r="A479" s="127"/>
      <c r="B479" s="118"/>
      <c r="C479" s="128"/>
      <c r="D479" s="128"/>
      <c r="E479" s="128"/>
      <c r="F479" s="128"/>
      <c r="G479" s="128"/>
      <c r="H479" s="128"/>
      <c r="I479" s="12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</row>
    <row r="480" ht="10.5" customHeight="1">
      <c r="A480" s="127"/>
      <c r="B480" s="118"/>
      <c r="C480" s="128"/>
      <c r="D480" s="128"/>
      <c r="E480" s="128"/>
      <c r="F480" s="128"/>
      <c r="G480" s="128"/>
      <c r="H480" s="128"/>
      <c r="I480" s="12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</row>
    <row r="481" ht="10.5" customHeight="1">
      <c r="A481" s="127"/>
      <c r="B481" s="118"/>
      <c r="C481" s="128"/>
      <c r="D481" s="128"/>
      <c r="E481" s="128"/>
      <c r="F481" s="128"/>
      <c r="G481" s="128"/>
      <c r="H481" s="128"/>
      <c r="I481" s="12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</row>
    <row r="482" ht="10.5" customHeight="1">
      <c r="A482" s="127"/>
      <c r="B482" s="118"/>
      <c r="C482" s="128"/>
      <c r="D482" s="128"/>
      <c r="E482" s="128"/>
      <c r="F482" s="128"/>
      <c r="G482" s="128"/>
      <c r="H482" s="128"/>
      <c r="I482" s="12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</row>
    <row r="483" ht="10.5" customHeight="1">
      <c r="A483" s="127"/>
      <c r="B483" s="118"/>
      <c r="C483" s="128"/>
      <c r="D483" s="128"/>
      <c r="E483" s="128"/>
      <c r="F483" s="128"/>
      <c r="G483" s="128"/>
      <c r="H483" s="128"/>
      <c r="I483" s="12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</row>
    <row r="484" ht="10.5" customHeight="1">
      <c r="A484" s="127"/>
      <c r="B484" s="118"/>
      <c r="C484" s="128"/>
      <c r="D484" s="128"/>
      <c r="E484" s="128"/>
      <c r="F484" s="128"/>
      <c r="G484" s="128"/>
      <c r="H484" s="128"/>
      <c r="I484" s="12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</row>
    <row r="485" ht="10.5" customHeight="1">
      <c r="A485" s="127"/>
      <c r="B485" s="118"/>
      <c r="C485" s="128"/>
      <c r="D485" s="128"/>
      <c r="E485" s="128"/>
      <c r="F485" s="128"/>
      <c r="G485" s="128"/>
      <c r="H485" s="128"/>
      <c r="I485" s="12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</row>
    <row r="486" ht="10.5" customHeight="1">
      <c r="A486" s="127"/>
      <c r="B486" s="118"/>
      <c r="C486" s="128"/>
      <c r="D486" s="128"/>
      <c r="E486" s="128"/>
      <c r="F486" s="128"/>
      <c r="G486" s="128"/>
      <c r="H486" s="128"/>
      <c r="I486" s="12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</row>
    <row r="487" ht="10.5" customHeight="1">
      <c r="A487" s="127"/>
      <c r="B487" s="118"/>
      <c r="C487" s="128"/>
      <c r="D487" s="128"/>
      <c r="E487" s="128"/>
      <c r="F487" s="128"/>
      <c r="G487" s="128"/>
      <c r="H487" s="128"/>
      <c r="I487" s="12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</row>
    <row r="488" ht="10.5" customHeight="1">
      <c r="A488" s="127"/>
      <c r="B488" s="118"/>
      <c r="C488" s="128"/>
      <c r="D488" s="128"/>
      <c r="E488" s="128"/>
      <c r="F488" s="128"/>
      <c r="G488" s="128"/>
      <c r="H488" s="128"/>
      <c r="I488" s="12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</row>
    <row r="489" ht="10.5" customHeight="1">
      <c r="A489" s="127"/>
      <c r="B489" s="118"/>
      <c r="C489" s="128"/>
      <c r="D489" s="128"/>
      <c r="E489" s="128"/>
      <c r="F489" s="128"/>
      <c r="G489" s="128"/>
      <c r="H489" s="128"/>
      <c r="I489" s="12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</row>
    <row r="490" ht="10.5" customHeight="1">
      <c r="A490" s="127"/>
      <c r="B490" s="118"/>
      <c r="C490" s="128"/>
      <c r="D490" s="128"/>
      <c r="E490" s="128"/>
      <c r="F490" s="128"/>
      <c r="G490" s="128"/>
      <c r="H490" s="128"/>
      <c r="I490" s="12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</row>
    <row r="491" ht="10.5" customHeight="1">
      <c r="A491" s="127"/>
      <c r="B491" s="118"/>
      <c r="C491" s="128"/>
      <c r="D491" s="128"/>
      <c r="E491" s="128"/>
      <c r="F491" s="128"/>
      <c r="G491" s="128"/>
      <c r="H491" s="128"/>
      <c r="I491" s="12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</row>
    <row r="492" ht="10.5" customHeight="1">
      <c r="A492" s="127"/>
      <c r="B492" s="118"/>
      <c r="C492" s="128"/>
      <c r="D492" s="128"/>
      <c r="E492" s="128"/>
      <c r="F492" s="128"/>
      <c r="G492" s="128"/>
      <c r="H492" s="128"/>
      <c r="I492" s="12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</row>
    <row r="493" ht="10.5" customHeight="1">
      <c r="A493" s="127"/>
      <c r="B493" s="118"/>
      <c r="C493" s="128"/>
      <c r="D493" s="128"/>
      <c r="E493" s="128"/>
      <c r="F493" s="128"/>
      <c r="G493" s="128"/>
      <c r="H493" s="128"/>
      <c r="I493" s="12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</row>
    <row r="494" ht="10.5" customHeight="1">
      <c r="A494" s="127"/>
      <c r="B494" s="118"/>
      <c r="C494" s="128"/>
      <c r="D494" s="128"/>
      <c r="E494" s="128"/>
      <c r="F494" s="128"/>
      <c r="G494" s="128"/>
      <c r="H494" s="128"/>
      <c r="I494" s="12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</row>
    <row r="495" ht="10.5" customHeight="1">
      <c r="A495" s="127"/>
      <c r="B495" s="118"/>
      <c r="C495" s="128"/>
      <c r="D495" s="128"/>
      <c r="E495" s="128"/>
      <c r="F495" s="128"/>
      <c r="G495" s="128"/>
      <c r="H495" s="128"/>
      <c r="I495" s="12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</row>
    <row r="496" ht="10.5" customHeight="1">
      <c r="A496" s="127"/>
      <c r="B496" s="118"/>
      <c r="C496" s="128"/>
      <c r="D496" s="128"/>
      <c r="E496" s="128"/>
      <c r="F496" s="128"/>
      <c r="G496" s="128"/>
      <c r="H496" s="128"/>
      <c r="I496" s="12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</row>
    <row r="497" ht="10.5" customHeight="1">
      <c r="A497" s="127"/>
      <c r="B497" s="118"/>
      <c r="C497" s="128"/>
      <c r="D497" s="128"/>
      <c r="E497" s="128"/>
      <c r="F497" s="128"/>
      <c r="G497" s="128"/>
      <c r="H497" s="128"/>
      <c r="I497" s="12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</row>
    <row r="498" ht="10.5" customHeight="1">
      <c r="A498" s="127"/>
      <c r="B498" s="118"/>
      <c r="C498" s="128"/>
      <c r="D498" s="128"/>
      <c r="E498" s="128"/>
      <c r="F498" s="128"/>
      <c r="G498" s="128"/>
      <c r="H498" s="128"/>
      <c r="I498" s="12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</row>
    <row r="499" ht="10.5" customHeight="1">
      <c r="A499" s="127"/>
      <c r="B499" s="118"/>
      <c r="C499" s="128"/>
      <c r="D499" s="128"/>
      <c r="E499" s="128"/>
      <c r="F499" s="128"/>
      <c r="G499" s="128"/>
      <c r="H499" s="128"/>
      <c r="I499" s="12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</row>
    <row r="500" ht="10.5" customHeight="1">
      <c r="A500" s="127"/>
      <c r="B500" s="118"/>
      <c r="C500" s="128"/>
      <c r="D500" s="128"/>
      <c r="E500" s="128"/>
      <c r="F500" s="128"/>
      <c r="G500" s="128"/>
      <c r="H500" s="128"/>
      <c r="I500" s="12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</row>
    <row r="501" ht="10.5" customHeight="1">
      <c r="A501" s="127"/>
      <c r="B501" s="118"/>
      <c r="C501" s="128"/>
      <c r="D501" s="128"/>
      <c r="E501" s="128"/>
      <c r="F501" s="128"/>
      <c r="G501" s="128"/>
      <c r="H501" s="128"/>
      <c r="I501" s="12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</row>
    <row r="502" ht="10.5" customHeight="1">
      <c r="A502" s="127"/>
      <c r="B502" s="118"/>
      <c r="C502" s="128"/>
      <c r="D502" s="128"/>
      <c r="E502" s="128"/>
      <c r="F502" s="128"/>
      <c r="G502" s="128"/>
      <c r="H502" s="128"/>
      <c r="I502" s="12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</row>
    <row r="503" ht="10.5" customHeight="1">
      <c r="A503" s="127"/>
      <c r="B503" s="118"/>
      <c r="C503" s="128"/>
      <c r="D503" s="128"/>
      <c r="E503" s="128"/>
      <c r="F503" s="128"/>
      <c r="G503" s="128"/>
      <c r="H503" s="128"/>
      <c r="I503" s="12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</row>
    <row r="504" ht="10.5" customHeight="1">
      <c r="A504" s="127"/>
      <c r="B504" s="118"/>
      <c r="C504" s="128"/>
      <c r="D504" s="128"/>
      <c r="E504" s="128"/>
      <c r="F504" s="128"/>
      <c r="G504" s="128"/>
      <c r="H504" s="128"/>
      <c r="I504" s="12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</row>
    <row r="505" ht="10.5" customHeight="1">
      <c r="A505" s="127"/>
      <c r="B505" s="118"/>
      <c r="C505" s="128"/>
      <c r="D505" s="128"/>
      <c r="E505" s="128"/>
      <c r="F505" s="128"/>
      <c r="G505" s="128"/>
      <c r="H505" s="128"/>
      <c r="I505" s="12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</row>
    <row r="506" ht="10.5" customHeight="1">
      <c r="A506" s="127"/>
      <c r="B506" s="118"/>
      <c r="C506" s="128"/>
      <c r="D506" s="128"/>
      <c r="E506" s="128"/>
      <c r="F506" s="128"/>
      <c r="G506" s="128"/>
      <c r="H506" s="128"/>
      <c r="I506" s="12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</row>
    <row r="507" ht="10.5" customHeight="1">
      <c r="A507" s="127"/>
      <c r="B507" s="118"/>
      <c r="C507" s="128"/>
      <c r="D507" s="128"/>
      <c r="E507" s="128"/>
      <c r="F507" s="128"/>
      <c r="G507" s="128"/>
      <c r="H507" s="128"/>
      <c r="I507" s="12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</row>
    <row r="508" ht="10.5" customHeight="1">
      <c r="A508" s="127"/>
      <c r="B508" s="118"/>
      <c r="C508" s="128"/>
      <c r="D508" s="128"/>
      <c r="E508" s="128"/>
      <c r="F508" s="128"/>
      <c r="G508" s="128"/>
      <c r="H508" s="128"/>
      <c r="I508" s="12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</row>
    <row r="509" ht="10.5" customHeight="1">
      <c r="A509" s="127"/>
      <c r="B509" s="118"/>
      <c r="C509" s="128"/>
      <c r="D509" s="128"/>
      <c r="E509" s="128"/>
      <c r="F509" s="128"/>
      <c r="G509" s="128"/>
      <c r="H509" s="128"/>
      <c r="I509" s="12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</row>
    <row r="510" ht="10.5" customHeight="1">
      <c r="A510" s="127"/>
      <c r="B510" s="118"/>
      <c r="C510" s="128"/>
      <c r="D510" s="128"/>
      <c r="E510" s="128"/>
      <c r="F510" s="128"/>
      <c r="G510" s="128"/>
      <c r="H510" s="128"/>
      <c r="I510" s="12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</row>
    <row r="511" ht="10.5" customHeight="1">
      <c r="A511" s="127"/>
      <c r="B511" s="118"/>
      <c r="C511" s="128"/>
      <c r="D511" s="128"/>
      <c r="E511" s="128"/>
      <c r="F511" s="128"/>
      <c r="G511" s="128"/>
      <c r="H511" s="128"/>
      <c r="I511" s="12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</row>
    <row r="512" ht="10.5" customHeight="1">
      <c r="A512" s="127"/>
      <c r="B512" s="118"/>
      <c r="C512" s="128"/>
      <c r="D512" s="128"/>
      <c r="E512" s="128"/>
      <c r="F512" s="128"/>
      <c r="G512" s="128"/>
      <c r="H512" s="128"/>
      <c r="I512" s="12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</row>
    <row r="513" ht="10.5" customHeight="1">
      <c r="A513" s="127"/>
      <c r="B513" s="118"/>
      <c r="C513" s="128"/>
      <c r="D513" s="128"/>
      <c r="E513" s="128"/>
      <c r="F513" s="128"/>
      <c r="G513" s="128"/>
      <c r="H513" s="128"/>
      <c r="I513" s="12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</row>
    <row r="514" ht="10.5" customHeight="1">
      <c r="A514" s="127"/>
      <c r="B514" s="118"/>
      <c r="C514" s="128"/>
      <c r="D514" s="128"/>
      <c r="E514" s="128"/>
      <c r="F514" s="128"/>
      <c r="G514" s="128"/>
      <c r="H514" s="128"/>
      <c r="I514" s="12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</row>
    <row r="515" ht="10.5" customHeight="1">
      <c r="A515" s="127"/>
      <c r="B515" s="118"/>
      <c r="C515" s="128"/>
      <c r="D515" s="128"/>
      <c r="E515" s="128"/>
      <c r="F515" s="128"/>
      <c r="G515" s="128"/>
      <c r="H515" s="128"/>
      <c r="I515" s="12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</row>
    <row r="516" ht="10.5" customHeight="1">
      <c r="A516" s="127"/>
      <c r="B516" s="118"/>
      <c r="C516" s="128"/>
      <c r="D516" s="128"/>
      <c r="E516" s="128"/>
      <c r="F516" s="128"/>
      <c r="G516" s="128"/>
      <c r="H516" s="128"/>
      <c r="I516" s="12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</row>
    <row r="517" ht="10.5" customHeight="1">
      <c r="A517" s="127"/>
      <c r="B517" s="118"/>
      <c r="C517" s="128"/>
      <c r="D517" s="128"/>
      <c r="E517" s="128"/>
      <c r="F517" s="128"/>
      <c r="G517" s="128"/>
      <c r="H517" s="128"/>
      <c r="I517" s="12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</row>
    <row r="518" ht="10.5" customHeight="1">
      <c r="A518" s="127"/>
      <c r="B518" s="118"/>
      <c r="C518" s="128"/>
      <c r="D518" s="128"/>
      <c r="E518" s="128"/>
      <c r="F518" s="128"/>
      <c r="G518" s="128"/>
      <c r="H518" s="128"/>
      <c r="I518" s="12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</row>
    <row r="519" ht="10.5" customHeight="1">
      <c r="A519" s="127"/>
      <c r="B519" s="118"/>
      <c r="C519" s="128"/>
      <c r="D519" s="128"/>
      <c r="E519" s="128"/>
      <c r="F519" s="128"/>
      <c r="G519" s="128"/>
      <c r="H519" s="128"/>
      <c r="I519" s="12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</row>
    <row r="520" ht="10.5" customHeight="1">
      <c r="A520" s="127"/>
      <c r="B520" s="118"/>
      <c r="C520" s="128"/>
      <c r="D520" s="128"/>
      <c r="E520" s="128"/>
      <c r="F520" s="128"/>
      <c r="G520" s="128"/>
      <c r="H520" s="128"/>
      <c r="I520" s="12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</row>
    <row r="521" ht="10.5" customHeight="1">
      <c r="A521" s="127"/>
      <c r="B521" s="118"/>
      <c r="C521" s="128"/>
      <c r="D521" s="128"/>
      <c r="E521" s="128"/>
      <c r="F521" s="128"/>
      <c r="G521" s="128"/>
      <c r="H521" s="128"/>
      <c r="I521" s="12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</row>
    <row r="522" ht="10.5" customHeight="1">
      <c r="A522" s="127"/>
      <c r="B522" s="118"/>
      <c r="C522" s="128"/>
      <c r="D522" s="128"/>
      <c r="E522" s="128"/>
      <c r="F522" s="128"/>
      <c r="G522" s="128"/>
      <c r="H522" s="128"/>
      <c r="I522" s="12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</row>
    <row r="523" ht="10.5" customHeight="1">
      <c r="A523" s="127"/>
      <c r="B523" s="118"/>
      <c r="C523" s="128"/>
      <c r="D523" s="128"/>
      <c r="E523" s="128"/>
      <c r="F523" s="128"/>
      <c r="G523" s="128"/>
      <c r="H523" s="128"/>
      <c r="I523" s="12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</row>
    <row r="524" ht="10.5" customHeight="1">
      <c r="A524" s="127"/>
      <c r="B524" s="118"/>
      <c r="C524" s="128"/>
      <c r="D524" s="128"/>
      <c r="E524" s="128"/>
      <c r="F524" s="128"/>
      <c r="G524" s="128"/>
      <c r="H524" s="128"/>
      <c r="I524" s="12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</row>
    <row r="525" ht="10.5" customHeight="1">
      <c r="A525" s="127"/>
      <c r="B525" s="118"/>
      <c r="C525" s="128"/>
      <c r="D525" s="128"/>
      <c r="E525" s="128"/>
      <c r="F525" s="128"/>
      <c r="G525" s="128"/>
      <c r="H525" s="128"/>
      <c r="I525" s="12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</row>
    <row r="526" ht="10.5" customHeight="1">
      <c r="A526" s="127"/>
      <c r="B526" s="118"/>
      <c r="C526" s="128"/>
      <c r="D526" s="128"/>
      <c r="E526" s="128"/>
      <c r="F526" s="128"/>
      <c r="G526" s="128"/>
      <c r="H526" s="128"/>
      <c r="I526" s="12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</row>
    <row r="527" ht="10.5" customHeight="1">
      <c r="A527" s="127"/>
      <c r="B527" s="118"/>
      <c r="C527" s="128"/>
      <c r="D527" s="128"/>
      <c r="E527" s="128"/>
      <c r="F527" s="128"/>
      <c r="G527" s="128"/>
      <c r="H527" s="128"/>
      <c r="I527" s="12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</row>
    <row r="528" ht="10.5" customHeight="1">
      <c r="A528" s="127"/>
      <c r="B528" s="118"/>
      <c r="C528" s="128"/>
      <c r="D528" s="128"/>
      <c r="E528" s="128"/>
      <c r="F528" s="128"/>
      <c r="G528" s="128"/>
      <c r="H528" s="128"/>
      <c r="I528" s="12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</row>
    <row r="529" ht="10.5" customHeight="1">
      <c r="A529" s="127"/>
      <c r="B529" s="118"/>
      <c r="C529" s="128"/>
      <c r="D529" s="128"/>
      <c r="E529" s="128"/>
      <c r="F529" s="128"/>
      <c r="G529" s="128"/>
      <c r="H529" s="128"/>
      <c r="I529" s="12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</row>
    <row r="530" ht="10.5" customHeight="1">
      <c r="A530" s="127"/>
      <c r="B530" s="118"/>
      <c r="C530" s="128"/>
      <c r="D530" s="128"/>
      <c r="E530" s="128"/>
      <c r="F530" s="128"/>
      <c r="G530" s="128"/>
      <c r="H530" s="128"/>
      <c r="I530" s="12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</row>
    <row r="531" ht="10.5" customHeight="1">
      <c r="A531" s="127"/>
      <c r="B531" s="118"/>
      <c r="C531" s="128"/>
      <c r="D531" s="128"/>
      <c r="E531" s="128"/>
      <c r="F531" s="128"/>
      <c r="G531" s="128"/>
      <c r="H531" s="128"/>
      <c r="I531" s="12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</row>
    <row r="532" ht="10.5" customHeight="1">
      <c r="A532" s="127"/>
      <c r="B532" s="118"/>
      <c r="C532" s="128"/>
      <c r="D532" s="128"/>
      <c r="E532" s="128"/>
      <c r="F532" s="128"/>
      <c r="G532" s="128"/>
      <c r="H532" s="128"/>
      <c r="I532" s="12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</row>
    <row r="533" ht="10.5" customHeight="1">
      <c r="A533" s="127"/>
      <c r="B533" s="118"/>
      <c r="C533" s="128"/>
      <c r="D533" s="128"/>
      <c r="E533" s="128"/>
      <c r="F533" s="128"/>
      <c r="G533" s="128"/>
      <c r="H533" s="128"/>
      <c r="I533" s="12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</row>
    <row r="534" ht="10.5" customHeight="1">
      <c r="A534" s="127"/>
      <c r="B534" s="118"/>
      <c r="C534" s="128"/>
      <c r="D534" s="128"/>
      <c r="E534" s="128"/>
      <c r="F534" s="128"/>
      <c r="G534" s="128"/>
      <c r="H534" s="128"/>
      <c r="I534" s="12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</row>
    <row r="535" ht="10.5" customHeight="1">
      <c r="A535" s="127"/>
      <c r="B535" s="118"/>
      <c r="C535" s="128"/>
      <c r="D535" s="128"/>
      <c r="E535" s="128"/>
      <c r="F535" s="128"/>
      <c r="G535" s="128"/>
      <c r="H535" s="128"/>
      <c r="I535" s="12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</row>
    <row r="536" ht="10.5" customHeight="1">
      <c r="A536" s="127"/>
      <c r="B536" s="118"/>
      <c r="C536" s="128"/>
      <c r="D536" s="128"/>
      <c r="E536" s="128"/>
      <c r="F536" s="128"/>
      <c r="G536" s="128"/>
      <c r="H536" s="128"/>
      <c r="I536" s="12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</row>
    <row r="537" ht="10.5" customHeight="1">
      <c r="A537" s="127"/>
      <c r="B537" s="118"/>
      <c r="C537" s="128"/>
      <c r="D537" s="128"/>
      <c r="E537" s="128"/>
      <c r="F537" s="128"/>
      <c r="G537" s="128"/>
      <c r="H537" s="128"/>
      <c r="I537" s="12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</row>
    <row r="538" ht="10.5" customHeight="1">
      <c r="A538" s="127"/>
      <c r="B538" s="118"/>
      <c r="C538" s="128"/>
      <c r="D538" s="128"/>
      <c r="E538" s="128"/>
      <c r="F538" s="128"/>
      <c r="G538" s="128"/>
      <c r="H538" s="128"/>
      <c r="I538" s="12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</row>
    <row r="539" ht="10.5" customHeight="1">
      <c r="A539" s="127"/>
      <c r="B539" s="118"/>
      <c r="C539" s="128"/>
      <c r="D539" s="128"/>
      <c r="E539" s="128"/>
      <c r="F539" s="128"/>
      <c r="G539" s="128"/>
      <c r="H539" s="128"/>
      <c r="I539" s="12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</row>
    <row r="540" ht="10.5" customHeight="1">
      <c r="A540" s="127"/>
      <c r="B540" s="118"/>
      <c r="C540" s="128"/>
      <c r="D540" s="128"/>
      <c r="E540" s="128"/>
      <c r="F540" s="128"/>
      <c r="G540" s="128"/>
      <c r="H540" s="128"/>
      <c r="I540" s="12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</row>
    <row r="541" ht="10.5" customHeight="1">
      <c r="A541" s="127"/>
      <c r="B541" s="118"/>
      <c r="C541" s="128"/>
      <c r="D541" s="128"/>
      <c r="E541" s="128"/>
      <c r="F541" s="128"/>
      <c r="G541" s="128"/>
      <c r="H541" s="128"/>
      <c r="I541" s="12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</row>
    <row r="542" ht="10.5" customHeight="1">
      <c r="A542" s="127"/>
      <c r="B542" s="118"/>
      <c r="C542" s="128"/>
      <c r="D542" s="128"/>
      <c r="E542" s="128"/>
      <c r="F542" s="128"/>
      <c r="G542" s="128"/>
      <c r="H542" s="128"/>
      <c r="I542" s="12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</row>
    <row r="543" ht="10.5" customHeight="1">
      <c r="A543" s="127"/>
      <c r="B543" s="118"/>
      <c r="C543" s="128"/>
      <c r="D543" s="128"/>
      <c r="E543" s="128"/>
      <c r="F543" s="128"/>
      <c r="G543" s="128"/>
      <c r="H543" s="128"/>
      <c r="I543" s="12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</row>
    <row r="544" ht="10.5" customHeight="1">
      <c r="A544" s="127"/>
      <c r="B544" s="118"/>
      <c r="C544" s="128"/>
      <c r="D544" s="128"/>
      <c r="E544" s="128"/>
      <c r="F544" s="128"/>
      <c r="G544" s="128"/>
      <c r="H544" s="128"/>
      <c r="I544" s="12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</row>
    <row r="545" ht="10.5" customHeight="1">
      <c r="A545" s="127"/>
      <c r="B545" s="118"/>
      <c r="C545" s="128"/>
      <c r="D545" s="128"/>
      <c r="E545" s="128"/>
      <c r="F545" s="128"/>
      <c r="G545" s="128"/>
      <c r="H545" s="128"/>
      <c r="I545" s="12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</row>
    <row r="546" ht="10.5" customHeight="1">
      <c r="A546" s="127"/>
      <c r="B546" s="118"/>
      <c r="C546" s="128"/>
      <c r="D546" s="128"/>
      <c r="E546" s="128"/>
      <c r="F546" s="128"/>
      <c r="G546" s="128"/>
      <c r="H546" s="128"/>
      <c r="I546" s="12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</row>
    <row r="547" ht="10.5" customHeight="1">
      <c r="A547" s="127"/>
      <c r="B547" s="118"/>
      <c r="C547" s="128"/>
      <c r="D547" s="128"/>
      <c r="E547" s="128"/>
      <c r="F547" s="128"/>
      <c r="G547" s="128"/>
      <c r="H547" s="128"/>
      <c r="I547" s="12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</row>
    <row r="548" ht="10.5" customHeight="1">
      <c r="A548" s="127"/>
      <c r="B548" s="118"/>
      <c r="C548" s="128"/>
      <c r="D548" s="128"/>
      <c r="E548" s="128"/>
      <c r="F548" s="128"/>
      <c r="G548" s="128"/>
      <c r="H548" s="128"/>
      <c r="I548" s="12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</row>
    <row r="549" ht="10.5" customHeight="1">
      <c r="A549" s="127"/>
      <c r="B549" s="118"/>
      <c r="C549" s="128"/>
      <c r="D549" s="128"/>
      <c r="E549" s="128"/>
      <c r="F549" s="128"/>
      <c r="G549" s="128"/>
      <c r="H549" s="128"/>
      <c r="I549" s="12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</row>
    <row r="550" ht="10.5" customHeight="1">
      <c r="A550" s="127"/>
      <c r="B550" s="118"/>
      <c r="C550" s="128"/>
      <c r="D550" s="128"/>
      <c r="E550" s="128"/>
      <c r="F550" s="128"/>
      <c r="G550" s="128"/>
      <c r="H550" s="128"/>
      <c r="I550" s="12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</row>
    <row r="551" ht="10.5" customHeight="1">
      <c r="A551" s="127"/>
      <c r="B551" s="118"/>
      <c r="C551" s="128"/>
      <c r="D551" s="128"/>
      <c r="E551" s="128"/>
      <c r="F551" s="128"/>
      <c r="G551" s="128"/>
      <c r="H551" s="128"/>
      <c r="I551" s="12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</row>
    <row r="552" ht="10.5" customHeight="1">
      <c r="A552" s="127"/>
      <c r="B552" s="118"/>
      <c r="C552" s="128"/>
      <c r="D552" s="128"/>
      <c r="E552" s="128"/>
      <c r="F552" s="128"/>
      <c r="G552" s="128"/>
      <c r="H552" s="128"/>
      <c r="I552" s="12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</row>
    <row r="553" ht="10.5" customHeight="1">
      <c r="A553" s="127"/>
      <c r="B553" s="118"/>
      <c r="C553" s="128"/>
      <c r="D553" s="128"/>
      <c r="E553" s="128"/>
      <c r="F553" s="128"/>
      <c r="G553" s="128"/>
      <c r="H553" s="128"/>
      <c r="I553" s="12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</row>
    <row r="554" ht="10.5" customHeight="1">
      <c r="A554" s="127"/>
      <c r="B554" s="118"/>
      <c r="C554" s="128"/>
      <c r="D554" s="128"/>
      <c r="E554" s="128"/>
      <c r="F554" s="128"/>
      <c r="G554" s="128"/>
      <c r="H554" s="128"/>
      <c r="I554" s="12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</row>
    <row r="555" ht="10.5" customHeight="1">
      <c r="A555" s="127"/>
      <c r="B555" s="118"/>
      <c r="C555" s="128"/>
      <c r="D555" s="128"/>
      <c r="E555" s="128"/>
      <c r="F555" s="128"/>
      <c r="G555" s="128"/>
      <c r="H555" s="128"/>
      <c r="I555" s="12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</row>
    <row r="556" ht="10.5" customHeight="1">
      <c r="A556" s="127"/>
      <c r="B556" s="118"/>
      <c r="C556" s="128"/>
      <c r="D556" s="128"/>
      <c r="E556" s="128"/>
      <c r="F556" s="128"/>
      <c r="G556" s="128"/>
      <c r="H556" s="128"/>
      <c r="I556" s="12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</row>
    <row r="557" ht="10.5" customHeight="1">
      <c r="A557" s="127"/>
      <c r="B557" s="118"/>
      <c r="C557" s="128"/>
      <c r="D557" s="128"/>
      <c r="E557" s="128"/>
      <c r="F557" s="128"/>
      <c r="G557" s="128"/>
      <c r="H557" s="128"/>
      <c r="I557" s="12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</row>
    <row r="558" ht="10.5" customHeight="1">
      <c r="A558" s="127"/>
      <c r="B558" s="118"/>
      <c r="C558" s="128"/>
      <c r="D558" s="128"/>
      <c r="E558" s="128"/>
      <c r="F558" s="128"/>
      <c r="G558" s="128"/>
      <c r="H558" s="128"/>
      <c r="I558" s="12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</row>
    <row r="559" ht="10.5" customHeight="1">
      <c r="A559" s="127"/>
      <c r="B559" s="118"/>
      <c r="C559" s="128"/>
      <c r="D559" s="128"/>
      <c r="E559" s="128"/>
      <c r="F559" s="128"/>
      <c r="G559" s="128"/>
      <c r="H559" s="128"/>
      <c r="I559" s="12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</row>
    <row r="560" ht="10.5" customHeight="1">
      <c r="A560" s="127"/>
      <c r="B560" s="118"/>
      <c r="C560" s="128"/>
      <c r="D560" s="128"/>
      <c r="E560" s="128"/>
      <c r="F560" s="128"/>
      <c r="G560" s="128"/>
      <c r="H560" s="128"/>
      <c r="I560" s="12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</row>
    <row r="561" ht="10.5" customHeight="1">
      <c r="A561" s="127"/>
      <c r="B561" s="118"/>
      <c r="C561" s="128"/>
      <c r="D561" s="128"/>
      <c r="E561" s="128"/>
      <c r="F561" s="128"/>
      <c r="G561" s="128"/>
      <c r="H561" s="128"/>
      <c r="I561" s="12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</row>
    <row r="562" ht="10.5" customHeight="1">
      <c r="A562" s="127"/>
      <c r="B562" s="118"/>
      <c r="C562" s="128"/>
      <c r="D562" s="128"/>
      <c r="E562" s="128"/>
      <c r="F562" s="128"/>
      <c r="G562" s="128"/>
      <c r="H562" s="128"/>
      <c r="I562" s="12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</row>
    <row r="563" ht="10.5" customHeight="1">
      <c r="A563" s="127"/>
      <c r="B563" s="118"/>
      <c r="C563" s="128"/>
      <c r="D563" s="128"/>
      <c r="E563" s="128"/>
      <c r="F563" s="128"/>
      <c r="G563" s="128"/>
      <c r="H563" s="128"/>
      <c r="I563" s="12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</row>
    <row r="564" ht="10.5" customHeight="1">
      <c r="A564" s="127"/>
      <c r="B564" s="118"/>
      <c r="C564" s="128"/>
      <c r="D564" s="128"/>
      <c r="E564" s="128"/>
      <c r="F564" s="128"/>
      <c r="G564" s="128"/>
      <c r="H564" s="128"/>
      <c r="I564" s="12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</row>
    <row r="565" ht="10.5" customHeight="1">
      <c r="A565" s="127"/>
      <c r="B565" s="118"/>
      <c r="C565" s="128"/>
      <c r="D565" s="128"/>
      <c r="E565" s="128"/>
      <c r="F565" s="128"/>
      <c r="G565" s="128"/>
      <c r="H565" s="128"/>
      <c r="I565" s="12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</row>
    <row r="566" ht="10.5" customHeight="1">
      <c r="A566" s="127"/>
      <c r="B566" s="118"/>
      <c r="C566" s="128"/>
      <c r="D566" s="128"/>
      <c r="E566" s="128"/>
      <c r="F566" s="128"/>
      <c r="G566" s="128"/>
      <c r="H566" s="128"/>
      <c r="I566" s="12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</row>
    <row r="567" ht="10.5" customHeight="1">
      <c r="A567" s="127"/>
      <c r="B567" s="118"/>
      <c r="C567" s="128"/>
      <c r="D567" s="128"/>
      <c r="E567" s="128"/>
      <c r="F567" s="128"/>
      <c r="G567" s="128"/>
      <c r="H567" s="128"/>
      <c r="I567" s="12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</row>
    <row r="568" ht="10.5" customHeight="1">
      <c r="A568" s="127"/>
      <c r="B568" s="118"/>
      <c r="C568" s="128"/>
      <c r="D568" s="128"/>
      <c r="E568" s="128"/>
      <c r="F568" s="128"/>
      <c r="G568" s="128"/>
      <c r="H568" s="128"/>
      <c r="I568" s="12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</row>
    <row r="569" ht="10.5" customHeight="1">
      <c r="A569" s="127"/>
      <c r="B569" s="118"/>
      <c r="C569" s="128"/>
      <c r="D569" s="128"/>
      <c r="E569" s="128"/>
      <c r="F569" s="128"/>
      <c r="G569" s="128"/>
      <c r="H569" s="128"/>
      <c r="I569" s="12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</row>
    <row r="570" ht="10.5" customHeight="1">
      <c r="A570" s="127"/>
      <c r="B570" s="118"/>
      <c r="C570" s="128"/>
      <c r="D570" s="128"/>
      <c r="E570" s="128"/>
      <c r="F570" s="128"/>
      <c r="G570" s="128"/>
      <c r="H570" s="128"/>
      <c r="I570" s="12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</row>
    <row r="571" ht="10.5" customHeight="1">
      <c r="A571" s="127"/>
      <c r="B571" s="118"/>
      <c r="C571" s="128"/>
      <c r="D571" s="128"/>
      <c r="E571" s="128"/>
      <c r="F571" s="128"/>
      <c r="G571" s="128"/>
      <c r="H571" s="128"/>
      <c r="I571" s="12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</row>
    <row r="572" ht="10.5" customHeight="1">
      <c r="A572" s="127"/>
      <c r="B572" s="118"/>
      <c r="C572" s="128"/>
      <c r="D572" s="128"/>
      <c r="E572" s="128"/>
      <c r="F572" s="128"/>
      <c r="G572" s="128"/>
      <c r="H572" s="128"/>
      <c r="I572" s="12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</row>
    <row r="573" ht="10.5" customHeight="1">
      <c r="A573" s="127"/>
      <c r="B573" s="118"/>
      <c r="C573" s="128"/>
      <c r="D573" s="128"/>
      <c r="E573" s="128"/>
      <c r="F573" s="128"/>
      <c r="G573" s="128"/>
      <c r="H573" s="128"/>
      <c r="I573" s="12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</row>
    <row r="574" ht="10.5" customHeight="1">
      <c r="A574" s="127"/>
      <c r="B574" s="118"/>
      <c r="C574" s="128"/>
      <c r="D574" s="128"/>
      <c r="E574" s="128"/>
      <c r="F574" s="128"/>
      <c r="G574" s="128"/>
      <c r="H574" s="128"/>
      <c r="I574" s="12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</row>
    <row r="575" ht="10.5" customHeight="1">
      <c r="A575" s="127"/>
      <c r="B575" s="118"/>
      <c r="C575" s="128"/>
      <c r="D575" s="128"/>
      <c r="E575" s="128"/>
      <c r="F575" s="128"/>
      <c r="G575" s="128"/>
      <c r="H575" s="128"/>
      <c r="I575" s="12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</row>
    <row r="576" ht="10.5" customHeight="1">
      <c r="A576" s="127"/>
      <c r="B576" s="118"/>
      <c r="C576" s="128"/>
      <c r="D576" s="128"/>
      <c r="E576" s="128"/>
      <c r="F576" s="128"/>
      <c r="G576" s="128"/>
      <c r="H576" s="128"/>
      <c r="I576" s="12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</row>
    <row r="577" ht="10.5" customHeight="1">
      <c r="A577" s="127"/>
      <c r="B577" s="118"/>
      <c r="C577" s="128"/>
      <c r="D577" s="128"/>
      <c r="E577" s="128"/>
      <c r="F577" s="128"/>
      <c r="G577" s="128"/>
      <c r="H577" s="128"/>
      <c r="I577" s="12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</row>
    <row r="578" ht="10.5" customHeight="1">
      <c r="A578" s="127"/>
      <c r="B578" s="118"/>
      <c r="C578" s="128"/>
      <c r="D578" s="128"/>
      <c r="E578" s="128"/>
      <c r="F578" s="128"/>
      <c r="G578" s="128"/>
      <c r="H578" s="128"/>
      <c r="I578" s="12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</row>
    <row r="579" ht="10.5" customHeight="1">
      <c r="A579" s="127"/>
      <c r="B579" s="118"/>
      <c r="C579" s="128"/>
      <c r="D579" s="128"/>
      <c r="E579" s="128"/>
      <c r="F579" s="128"/>
      <c r="G579" s="128"/>
      <c r="H579" s="128"/>
      <c r="I579" s="12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</row>
    <row r="580" ht="10.5" customHeight="1">
      <c r="A580" s="127"/>
      <c r="B580" s="118"/>
      <c r="C580" s="128"/>
      <c r="D580" s="128"/>
      <c r="E580" s="128"/>
      <c r="F580" s="128"/>
      <c r="G580" s="128"/>
      <c r="H580" s="128"/>
      <c r="I580" s="12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</row>
    <row r="581" ht="10.5" customHeight="1">
      <c r="A581" s="127"/>
      <c r="B581" s="118"/>
      <c r="C581" s="128"/>
      <c r="D581" s="128"/>
      <c r="E581" s="128"/>
      <c r="F581" s="128"/>
      <c r="G581" s="128"/>
      <c r="H581" s="128"/>
      <c r="I581" s="12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</row>
    <row r="582" ht="10.5" customHeight="1">
      <c r="A582" s="127"/>
      <c r="B582" s="118"/>
      <c r="C582" s="128"/>
      <c r="D582" s="128"/>
      <c r="E582" s="128"/>
      <c r="F582" s="128"/>
      <c r="G582" s="128"/>
      <c r="H582" s="128"/>
      <c r="I582" s="12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</row>
    <row r="583" ht="10.5" customHeight="1">
      <c r="A583" s="127"/>
      <c r="B583" s="118"/>
      <c r="C583" s="128"/>
      <c r="D583" s="128"/>
      <c r="E583" s="128"/>
      <c r="F583" s="128"/>
      <c r="G583" s="128"/>
      <c r="H583" s="128"/>
      <c r="I583" s="12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</row>
    <row r="584" ht="10.5" customHeight="1">
      <c r="A584" s="127"/>
      <c r="B584" s="118"/>
      <c r="C584" s="128"/>
      <c r="D584" s="128"/>
      <c r="E584" s="128"/>
      <c r="F584" s="128"/>
      <c r="G584" s="128"/>
      <c r="H584" s="128"/>
      <c r="I584" s="12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</row>
    <row r="585" ht="10.5" customHeight="1">
      <c r="A585" s="127"/>
      <c r="B585" s="118"/>
      <c r="C585" s="128"/>
      <c r="D585" s="128"/>
      <c r="E585" s="128"/>
      <c r="F585" s="128"/>
      <c r="G585" s="128"/>
      <c r="H585" s="128"/>
      <c r="I585" s="12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</row>
    <row r="586" ht="10.5" customHeight="1">
      <c r="A586" s="127"/>
      <c r="B586" s="118"/>
      <c r="C586" s="128"/>
      <c r="D586" s="128"/>
      <c r="E586" s="128"/>
      <c r="F586" s="128"/>
      <c r="G586" s="128"/>
      <c r="H586" s="128"/>
      <c r="I586" s="12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</row>
    <row r="587" ht="10.5" customHeight="1">
      <c r="A587" s="127"/>
      <c r="B587" s="118"/>
      <c r="C587" s="128"/>
      <c r="D587" s="128"/>
      <c r="E587" s="128"/>
      <c r="F587" s="128"/>
      <c r="G587" s="128"/>
      <c r="H587" s="128"/>
      <c r="I587" s="12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</row>
    <row r="588" ht="10.5" customHeight="1">
      <c r="A588" s="127"/>
      <c r="B588" s="118"/>
      <c r="C588" s="128"/>
      <c r="D588" s="128"/>
      <c r="E588" s="128"/>
      <c r="F588" s="128"/>
      <c r="G588" s="128"/>
      <c r="H588" s="128"/>
      <c r="I588" s="12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</row>
    <row r="589" ht="10.5" customHeight="1">
      <c r="A589" s="127"/>
      <c r="B589" s="118"/>
      <c r="C589" s="128"/>
      <c r="D589" s="128"/>
      <c r="E589" s="128"/>
      <c r="F589" s="128"/>
      <c r="G589" s="128"/>
      <c r="H589" s="128"/>
      <c r="I589" s="12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</row>
    <row r="590" ht="10.5" customHeight="1">
      <c r="A590" s="127"/>
      <c r="B590" s="118"/>
      <c r="C590" s="128"/>
      <c r="D590" s="128"/>
      <c r="E590" s="128"/>
      <c r="F590" s="128"/>
      <c r="G590" s="128"/>
      <c r="H590" s="128"/>
      <c r="I590" s="12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</row>
    <row r="591" ht="10.5" customHeight="1">
      <c r="A591" s="127"/>
      <c r="B591" s="118"/>
      <c r="C591" s="128"/>
      <c r="D591" s="128"/>
      <c r="E591" s="128"/>
      <c r="F591" s="128"/>
      <c r="G591" s="128"/>
      <c r="H591" s="128"/>
      <c r="I591" s="12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</row>
    <row r="592" ht="10.5" customHeight="1">
      <c r="A592" s="127"/>
      <c r="B592" s="118"/>
      <c r="C592" s="128"/>
      <c r="D592" s="128"/>
      <c r="E592" s="128"/>
      <c r="F592" s="128"/>
      <c r="G592" s="128"/>
      <c r="H592" s="128"/>
      <c r="I592" s="12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</row>
    <row r="593" ht="10.5" customHeight="1">
      <c r="A593" s="127"/>
      <c r="B593" s="118"/>
      <c r="C593" s="128"/>
      <c r="D593" s="128"/>
      <c r="E593" s="128"/>
      <c r="F593" s="128"/>
      <c r="G593" s="128"/>
      <c r="H593" s="128"/>
      <c r="I593" s="12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</row>
    <row r="594" ht="10.5" customHeight="1">
      <c r="A594" s="127"/>
      <c r="B594" s="118"/>
      <c r="C594" s="128"/>
      <c r="D594" s="128"/>
      <c r="E594" s="128"/>
      <c r="F594" s="128"/>
      <c r="G594" s="128"/>
      <c r="H594" s="128"/>
      <c r="I594" s="12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</row>
    <row r="595" ht="10.5" customHeight="1">
      <c r="A595" s="127"/>
      <c r="B595" s="118"/>
      <c r="C595" s="128"/>
      <c r="D595" s="128"/>
      <c r="E595" s="128"/>
      <c r="F595" s="128"/>
      <c r="G595" s="128"/>
      <c r="H595" s="128"/>
      <c r="I595" s="12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</row>
    <row r="596" ht="10.5" customHeight="1">
      <c r="A596" s="127"/>
      <c r="B596" s="118"/>
      <c r="C596" s="128"/>
      <c r="D596" s="128"/>
      <c r="E596" s="128"/>
      <c r="F596" s="128"/>
      <c r="G596" s="128"/>
      <c r="H596" s="128"/>
      <c r="I596" s="12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</row>
    <row r="597" ht="10.5" customHeight="1">
      <c r="A597" s="127"/>
      <c r="B597" s="118"/>
      <c r="C597" s="128"/>
      <c r="D597" s="128"/>
      <c r="E597" s="128"/>
      <c r="F597" s="128"/>
      <c r="G597" s="128"/>
      <c r="H597" s="128"/>
      <c r="I597" s="12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</row>
    <row r="598" ht="10.5" customHeight="1">
      <c r="A598" s="127"/>
      <c r="B598" s="118"/>
      <c r="C598" s="128"/>
      <c r="D598" s="128"/>
      <c r="E598" s="128"/>
      <c r="F598" s="128"/>
      <c r="G598" s="128"/>
      <c r="H598" s="128"/>
      <c r="I598" s="12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</row>
    <row r="599" ht="10.5" customHeight="1">
      <c r="A599" s="127"/>
      <c r="B599" s="118"/>
      <c r="C599" s="128"/>
      <c r="D599" s="128"/>
      <c r="E599" s="128"/>
      <c r="F599" s="128"/>
      <c r="G599" s="128"/>
      <c r="H599" s="128"/>
      <c r="I599" s="12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</row>
    <row r="600" ht="10.5" customHeight="1">
      <c r="A600" s="127"/>
      <c r="B600" s="118"/>
      <c r="C600" s="128"/>
      <c r="D600" s="128"/>
      <c r="E600" s="128"/>
      <c r="F600" s="128"/>
      <c r="G600" s="128"/>
      <c r="H600" s="128"/>
      <c r="I600" s="12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</row>
    <row r="601" ht="10.5" customHeight="1">
      <c r="A601" s="127"/>
      <c r="B601" s="118"/>
      <c r="C601" s="128"/>
      <c r="D601" s="128"/>
      <c r="E601" s="128"/>
      <c r="F601" s="128"/>
      <c r="G601" s="128"/>
      <c r="H601" s="128"/>
      <c r="I601" s="12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</row>
    <row r="602" ht="10.5" customHeight="1">
      <c r="A602" s="127"/>
      <c r="B602" s="118"/>
      <c r="C602" s="128"/>
      <c r="D602" s="128"/>
      <c r="E602" s="128"/>
      <c r="F602" s="128"/>
      <c r="G602" s="128"/>
      <c r="H602" s="128"/>
      <c r="I602" s="12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</row>
    <row r="603" ht="10.5" customHeight="1">
      <c r="A603" s="127"/>
      <c r="B603" s="118"/>
      <c r="C603" s="128"/>
      <c r="D603" s="128"/>
      <c r="E603" s="128"/>
      <c r="F603" s="128"/>
      <c r="G603" s="128"/>
      <c r="H603" s="128"/>
      <c r="I603" s="12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</row>
    <row r="604" ht="10.5" customHeight="1">
      <c r="A604" s="127"/>
      <c r="B604" s="118"/>
      <c r="C604" s="128"/>
      <c r="D604" s="128"/>
      <c r="E604" s="128"/>
      <c r="F604" s="128"/>
      <c r="G604" s="128"/>
      <c r="H604" s="128"/>
      <c r="I604" s="12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</row>
    <row r="605" ht="10.5" customHeight="1">
      <c r="A605" s="127"/>
      <c r="B605" s="118"/>
      <c r="C605" s="128"/>
      <c r="D605" s="128"/>
      <c r="E605" s="128"/>
      <c r="F605" s="128"/>
      <c r="G605" s="128"/>
      <c r="H605" s="128"/>
      <c r="I605" s="12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</row>
    <row r="606" ht="10.5" customHeight="1">
      <c r="A606" s="127"/>
      <c r="B606" s="118"/>
      <c r="C606" s="128"/>
      <c r="D606" s="128"/>
      <c r="E606" s="128"/>
      <c r="F606" s="128"/>
      <c r="G606" s="128"/>
      <c r="H606" s="128"/>
      <c r="I606" s="12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</row>
    <row r="607" ht="10.5" customHeight="1">
      <c r="A607" s="127"/>
      <c r="B607" s="118"/>
      <c r="C607" s="128"/>
      <c r="D607" s="128"/>
      <c r="E607" s="128"/>
      <c r="F607" s="128"/>
      <c r="G607" s="128"/>
      <c r="H607" s="128"/>
      <c r="I607" s="12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</row>
    <row r="608" ht="10.5" customHeight="1">
      <c r="A608" s="127"/>
      <c r="B608" s="118"/>
      <c r="C608" s="128"/>
      <c r="D608" s="128"/>
      <c r="E608" s="128"/>
      <c r="F608" s="128"/>
      <c r="G608" s="128"/>
      <c r="H608" s="128"/>
      <c r="I608" s="12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</row>
    <row r="609" ht="10.5" customHeight="1">
      <c r="A609" s="127"/>
      <c r="B609" s="118"/>
      <c r="C609" s="128"/>
      <c r="D609" s="128"/>
      <c r="E609" s="128"/>
      <c r="F609" s="128"/>
      <c r="G609" s="128"/>
      <c r="H609" s="128"/>
      <c r="I609" s="12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</row>
    <row r="610" ht="10.5" customHeight="1">
      <c r="A610" s="127"/>
      <c r="B610" s="118"/>
      <c r="C610" s="128"/>
      <c r="D610" s="128"/>
      <c r="E610" s="128"/>
      <c r="F610" s="128"/>
      <c r="G610" s="128"/>
      <c r="H610" s="128"/>
      <c r="I610" s="12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</row>
    <row r="611" ht="10.5" customHeight="1">
      <c r="A611" s="127"/>
      <c r="B611" s="118"/>
      <c r="C611" s="128"/>
      <c r="D611" s="128"/>
      <c r="E611" s="128"/>
      <c r="F611" s="128"/>
      <c r="G611" s="128"/>
      <c r="H611" s="128"/>
      <c r="I611" s="12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</row>
    <row r="612" ht="10.5" customHeight="1">
      <c r="A612" s="127"/>
      <c r="B612" s="118"/>
      <c r="C612" s="128"/>
      <c r="D612" s="128"/>
      <c r="E612" s="128"/>
      <c r="F612" s="128"/>
      <c r="G612" s="128"/>
      <c r="H612" s="128"/>
      <c r="I612" s="12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</row>
    <row r="613" ht="10.5" customHeight="1">
      <c r="A613" s="127"/>
      <c r="B613" s="118"/>
      <c r="C613" s="128"/>
      <c r="D613" s="128"/>
      <c r="E613" s="128"/>
      <c r="F613" s="128"/>
      <c r="G613" s="128"/>
      <c r="H613" s="128"/>
      <c r="I613" s="12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</row>
    <row r="614" ht="10.5" customHeight="1">
      <c r="A614" s="127"/>
      <c r="B614" s="118"/>
      <c r="C614" s="128"/>
      <c r="D614" s="128"/>
      <c r="E614" s="128"/>
      <c r="F614" s="128"/>
      <c r="G614" s="128"/>
      <c r="H614" s="128"/>
      <c r="I614" s="12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</row>
    <row r="615" ht="10.5" customHeight="1">
      <c r="A615" s="127"/>
      <c r="B615" s="118"/>
      <c r="C615" s="128"/>
      <c r="D615" s="128"/>
      <c r="E615" s="128"/>
      <c r="F615" s="128"/>
      <c r="G615" s="128"/>
      <c r="H615" s="128"/>
      <c r="I615" s="12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</row>
    <row r="616" ht="10.5" customHeight="1">
      <c r="A616" s="127"/>
      <c r="B616" s="118"/>
      <c r="C616" s="128"/>
      <c r="D616" s="128"/>
      <c r="E616" s="128"/>
      <c r="F616" s="128"/>
      <c r="G616" s="128"/>
      <c r="H616" s="128"/>
      <c r="I616" s="12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</row>
    <row r="617" ht="10.5" customHeight="1">
      <c r="A617" s="127"/>
      <c r="B617" s="118"/>
      <c r="C617" s="128"/>
      <c r="D617" s="128"/>
      <c r="E617" s="128"/>
      <c r="F617" s="128"/>
      <c r="G617" s="128"/>
      <c r="H617" s="128"/>
      <c r="I617" s="12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</row>
    <row r="618" ht="10.5" customHeight="1">
      <c r="A618" s="127"/>
      <c r="B618" s="118"/>
      <c r="C618" s="128"/>
      <c r="D618" s="128"/>
      <c r="E618" s="128"/>
      <c r="F618" s="128"/>
      <c r="G618" s="128"/>
      <c r="H618" s="128"/>
      <c r="I618" s="12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</row>
    <row r="619" ht="10.5" customHeight="1">
      <c r="A619" s="127"/>
      <c r="B619" s="118"/>
      <c r="C619" s="128"/>
      <c r="D619" s="128"/>
      <c r="E619" s="128"/>
      <c r="F619" s="128"/>
      <c r="G619" s="128"/>
      <c r="H619" s="128"/>
      <c r="I619" s="12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</row>
    <row r="620" ht="10.5" customHeight="1">
      <c r="A620" s="127"/>
      <c r="B620" s="118"/>
      <c r="C620" s="128"/>
      <c r="D620" s="128"/>
      <c r="E620" s="128"/>
      <c r="F620" s="128"/>
      <c r="G620" s="128"/>
      <c r="H620" s="128"/>
      <c r="I620" s="12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</row>
    <row r="621" ht="10.5" customHeight="1">
      <c r="A621" s="127"/>
      <c r="B621" s="118"/>
      <c r="C621" s="128"/>
      <c r="D621" s="128"/>
      <c r="E621" s="128"/>
      <c r="F621" s="128"/>
      <c r="G621" s="128"/>
      <c r="H621" s="128"/>
      <c r="I621" s="12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</row>
    <row r="622" ht="10.5" customHeight="1">
      <c r="A622" s="127"/>
      <c r="B622" s="118"/>
      <c r="C622" s="128"/>
      <c r="D622" s="128"/>
      <c r="E622" s="128"/>
      <c r="F622" s="128"/>
      <c r="G622" s="128"/>
      <c r="H622" s="128"/>
      <c r="I622" s="12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</row>
    <row r="623" ht="10.5" customHeight="1">
      <c r="A623" s="127"/>
      <c r="B623" s="118"/>
      <c r="C623" s="128"/>
      <c r="D623" s="128"/>
      <c r="E623" s="128"/>
      <c r="F623" s="128"/>
      <c r="G623" s="128"/>
      <c r="H623" s="128"/>
      <c r="I623" s="12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</row>
    <row r="624" ht="10.5" customHeight="1">
      <c r="A624" s="127"/>
      <c r="B624" s="118"/>
      <c r="C624" s="128"/>
      <c r="D624" s="128"/>
      <c r="E624" s="128"/>
      <c r="F624" s="128"/>
      <c r="G624" s="128"/>
      <c r="H624" s="128"/>
      <c r="I624" s="12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</row>
    <row r="625" ht="10.5" customHeight="1">
      <c r="A625" s="127"/>
      <c r="B625" s="118"/>
      <c r="C625" s="128"/>
      <c r="D625" s="128"/>
      <c r="E625" s="128"/>
      <c r="F625" s="128"/>
      <c r="G625" s="128"/>
      <c r="H625" s="128"/>
      <c r="I625" s="12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</row>
    <row r="626" ht="10.5" customHeight="1">
      <c r="A626" s="127"/>
      <c r="B626" s="118"/>
      <c r="C626" s="128"/>
      <c r="D626" s="128"/>
      <c r="E626" s="128"/>
      <c r="F626" s="128"/>
      <c r="G626" s="128"/>
      <c r="H626" s="128"/>
      <c r="I626" s="12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</row>
    <row r="627" ht="10.5" customHeight="1">
      <c r="A627" s="127"/>
      <c r="B627" s="118"/>
      <c r="C627" s="128"/>
      <c r="D627" s="128"/>
      <c r="E627" s="128"/>
      <c r="F627" s="128"/>
      <c r="G627" s="128"/>
      <c r="H627" s="128"/>
      <c r="I627" s="12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</row>
    <row r="628" ht="10.5" customHeight="1">
      <c r="A628" s="127"/>
      <c r="B628" s="118"/>
      <c r="C628" s="128"/>
      <c r="D628" s="128"/>
      <c r="E628" s="128"/>
      <c r="F628" s="128"/>
      <c r="G628" s="128"/>
      <c r="H628" s="128"/>
      <c r="I628" s="12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</row>
    <row r="629" ht="10.5" customHeight="1">
      <c r="A629" s="127"/>
      <c r="B629" s="118"/>
      <c r="C629" s="128"/>
      <c r="D629" s="128"/>
      <c r="E629" s="128"/>
      <c r="F629" s="128"/>
      <c r="G629" s="128"/>
      <c r="H629" s="128"/>
      <c r="I629" s="12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</row>
    <row r="630" ht="10.5" customHeight="1">
      <c r="A630" s="127"/>
      <c r="B630" s="118"/>
      <c r="C630" s="128"/>
      <c r="D630" s="128"/>
      <c r="E630" s="128"/>
      <c r="F630" s="128"/>
      <c r="G630" s="128"/>
      <c r="H630" s="128"/>
      <c r="I630" s="12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</row>
    <row r="631" ht="10.5" customHeight="1">
      <c r="A631" s="127"/>
      <c r="B631" s="118"/>
      <c r="C631" s="128"/>
      <c r="D631" s="128"/>
      <c r="E631" s="128"/>
      <c r="F631" s="128"/>
      <c r="G631" s="128"/>
      <c r="H631" s="128"/>
      <c r="I631" s="12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</row>
    <row r="632" ht="10.5" customHeight="1">
      <c r="A632" s="127"/>
      <c r="B632" s="118"/>
      <c r="C632" s="128"/>
      <c r="D632" s="128"/>
      <c r="E632" s="128"/>
      <c r="F632" s="128"/>
      <c r="G632" s="128"/>
      <c r="H632" s="128"/>
      <c r="I632" s="12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</row>
    <row r="633" ht="10.5" customHeight="1">
      <c r="A633" s="127"/>
      <c r="B633" s="118"/>
      <c r="C633" s="128"/>
      <c r="D633" s="128"/>
      <c r="E633" s="128"/>
      <c r="F633" s="128"/>
      <c r="G633" s="128"/>
      <c r="H633" s="128"/>
      <c r="I633" s="12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</row>
    <row r="634" ht="10.5" customHeight="1">
      <c r="A634" s="127"/>
      <c r="B634" s="118"/>
      <c r="C634" s="128"/>
      <c r="D634" s="128"/>
      <c r="E634" s="128"/>
      <c r="F634" s="128"/>
      <c r="G634" s="128"/>
      <c r="H634" s="128"/>
      <c r="I634" s="12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</row>
    <row r="635" ht="10.5" customHeight="1">
      <c r="A635" s="127"/>
      <c r="B635" s="118"/>
      <c r="C635" s="128"/>
      <c r="D635" s="128"/>
      <c r="E635" s="128"/>
      <c r="F635" s="128"/>
      <c r="G635" s="128"/>
      <c r="H635" s="128"/>
      <c r="I635" s="12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</row>
    <row r="636" ht="10.5" customHeight="1">
      <c r="A636" s="127"/>
      <c r="B636" s="118"/>
      <c r="C636" s="128"/>
      <c r="D636" s="128"/>
      <c r="E636" s="128"/>
      <c r="F636" s="128"/>
      <c r="G636" s="128"/>
      <c r="H636" s="128"/>
      <c r="I636" s="12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</row>
    <row r="637" ht="10.5" customHeight="1">
      <c r="A637" s="127"/>
      <c r="B637" s="118"/>
      <c r="C637" s="128"/>
      <c r="D637" s="128"/>
      <c r="E637" s="128"/>
      <c r="F637" s="128"/>
      <c r="G637" s="128"/>
      <c r="H637" s="128"/>
      <c r="I637" s="12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</row>
    <row r="638" ht="10.5" customHeight="1">
      <c r="A638" s="127"/>
      <c r="B638" s="118"/>
      <c r="C638" s="128"/>
      <c r="D638" s="128"/>
      <c r="E638" s="128"/>
      <c r="F638" s="128"/>
      <c r="G638" s="128"/>
      <c r="H638" s="128"/>
      <c r="I638" s="12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</row>
    <row r="639" ht="10.5" customHeight="1">
      <c r="A639" s="127"/>
      <c r="B639" s="118"/>
      <c r="C639" s="128"/>
      <c r="D639" s="128"/>
      <c r="E639" s="128"/>
      <c r="F639" s="128"/>
      <c r="G639" s="128"/>
      <c r="H639" s="128"/>
      <c r="I639" s="12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</row>
    <row r="640" ht="10.5" customHeight="1">
      <c r="A640" s="127"/>
      <c r="B640" s="118"/>
      <c r="C640" s="128"/>
      <c r="D640" s="128"/>
      <c r="E640" s="128"/>
      <c r="F640" s="128"/>
      <c r="G640" s="128"/>
      <c r="H640" s="128"/>
      <c r="I640" s="12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</row>
    <row r="641" ht="10.5" customHeight="1">
      <c r="A641" s="127"/>
      <c r="B641" s="118"/>
      <c r="C641" s="128"/>
      <c r="D641" s="128"/>
      <c r="E641" s="128"/>
      <c r="F641" s="128"/>
      <c r="G641" s="128"/>
      <c r="H641" s="128"/>
      <c r="I641" s="12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</row>
    <row r="642" ht="10.5" customHeight="1">
      <c r="A642" s="127"/>
      <c r="B642" s="118"/>
      <c r="C642" s="128"/>
      <c r="D642" s="128"/>
      <c r="E642" s="128"/>
      <c r="F642" s="128"/>
      <c r="G642" s="128"/>
      <c r="H642" s="128"/>
      <c r="I642" s="12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</row>
    <row r="643" ht="10.5" customHeight="1">
      <c r="A643" s="127"/>
      <c r="B643" s="118"/>
      <c r="C643" s="128"/>
      <c r="D643" s="128"/>
      <c r="E643" s="128"/>
      <c r="F643" s="128"/>
      <c r="G643" s="128"/>
      <c r="H643" s="128"/>
      <c r="I643" s="12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</row>
    <row r="644" ht="10.5" customHeight="1">
      <c r="A644" s="127"/>
      <c r="B644" s="118"/>
      <c r="C644" s="128"/>
      <c r="D644" s="128"/>
      <c r="E644" s="128"/>
      <c r="F644" s="128"/>
      <c r="G644" s="128"/>
      <c r="H644" s="128"/>
      <c r="I644" s="12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</row>
    <row r="645" ht="10.5" customHeight="1">
      <c r="A645" s="127"/>
      <c r="B645" s="118"/>
      <c r="C645" s="128"/>
      <c r="D645" s="128"/>
      <c r="E645" s="128"/>
      <c r="F645" s="128"/>
      <c r="G645" s="128"/>
      <c r="H645" s="128"/>
      <c r="I645" s="12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</row>
    <row r="646" ht="10.5" customHeight="1">
      <c r="A646" s="127"/>
      <c r="B646" s="118"/>
      <c r="C646" s="128"/>
      <c r="D646" s="128"/>
      <c r="E646" s="128"/>
      <c r="F646" s="128"/>
      <c r="G646" s="128"/>
      <c r="H646" s="128"/>
      <c r="I646" s="12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</row>
    <row r="647" ht="10.5" customHeight="1">
      <c r="A647" s="127"/>
      <c r="B647" s="118"/>
      <c r="C647" s="128"/>
      <c r="D647" s="128"/>
      <c r="E647" s="128"/>
      <c r="F647" s="128"/>
      <c r="G647" s="128"/>
      <c r="H647" s="128"/>
      <c r="I647" s="12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</row>
    <row r="648" ht="10.5" customHeight="1">
      <c r="A648" s="127"/>
      <c r="B648" s="118"/>
      <c r="C648" s="128"/>
      <c r="D648" s="128"/>
      <c r="E648" s="128"/>
      <c r="F648" s="128"/>
      <c r="G648" s="128"/>
      <c r="H648" s="128"/>
      <c r="I648" s="12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</row>
    <row r="649" ht="10.5" customHeight="1">
      <c r="A649" s="127"/>
      <c r="B649" s="118"/>
      <c r="C649" s="128"/>
      <c r="D649" s="128"/>
      <c r="E649" s="128"/>
      <c r="F649" s="128"/>
      <c r="G649" s="128"/>
      <c r="H649" s="128"/>
      <c r="I649" s="12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</row>
    <row r="650" ht="10.5" customHeight="1">
      <c r="A650" s="127"/>
      <c r="B650" s="118"/>
      <c r="C650" s="128"/>
      <c r="D650" s="128"/>
      <c r="E650" s="128"/>
      <c r="F650" s="128"/>
      <c r="G650" s="128"/>
      <c r="H650" s="128"/>
      <c r="I650" s="12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</row>
    <row r="651" ht="10.5" customHeight="1">
      <c r="A651" s="127"/>
      <c r="B651" s="118"/>
      <c r="C651" s="128"/>
      <c r="D651" s="128"/>
      <c r="E651" s="128"/>
      <c r="F651" s="128"/>
      <c r="G651" s="128"/>
      <c r="H651" s="128"/>
      <c r="I651" s="12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</row>
    <row r="652" ht="10.5" customHeight="1">
      <c r="A652" s="127"/>
      <c r="B652" s="118"/>
      <c r="C652" s="128"/>
      <c r="D652" s="128"/>
      <c r="E652" s="128"/>
      <c r="F652" s="128"/>
      <c r="G652" s="128"/>
      <c r="H652" s="128"/>
      <c r="I652" s="12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</row>
    <row r="653" ht="10.5" customHeight="1">
      <c r="A653" s="127"/>
      <c r="B653" s="118"/>
      <c r="C653" s="128"/>
      <c r="D653" s="128"/>
      <c r="E653" s="128"/>
      <c r="F653" s="128"/>
      <c r="G653" s="128"/>
      <c r="H653" s="128"/>
      <c r="I653" s="12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</row>
    <row r="654" ht="10.5" customHeight="1">
      <c r="A654" s="127"/>
      <c r="B654" s="118"/>
      <c r="C654" s="128"/>
      <c r="D654" s="128"/>
      <c r="E654" s="128"/>
      <c r="F654" s="128"/>
      <c r="G654" s="128"/>
      <c r="H654" s="128"/>
      <c r="I654" s="12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</row>
    <row r="655" ht="10.5" customHeight="1">
      <c r="A655" s="127"/>
      <c r="B655" s="118"/>
      <c r="C655" s="128"/>
      <c r="D655" s="128"/>
      <c r="E655" s="128"/>
      <c r="F655" s="128"/>
      <c r="G655" s="128"/>
      <c r="H655" s="128"/>
      <c r="I655" s="12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</row>
    <row r="656" ht="10.5" customHeight="1">
      <c r="A656" s="127"/>
      <c r="B656" s="118"/>
      <c r="C656" s="128"/>
      <c r="D656" s="128"/>
      <c r="E656" s="128"/>
      <c r="F656" s="128"/>
      <c r="G656" s="128"/>
      <c r="H656" s="128"/>
      <c r="I656" s="12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</row>
    <row r="657" ht="10.5" customHeight="1">
      <c r="A657" s="127"/>
      <c r="B657" s="118"/>
      <c r="C657" s="128"/>
      <c r="D657" s="128"/>
      <c r="E657" s="128"/>
      <c r="F657" s="128"/>
      <c r="G657" s="128"/>
      <c r="H657" s="128"/>
      <c r="I657" s="12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</row>
    <row r="658" ht="10.5" customHeight="1">
      <c r="A658" s="127"/>
      <c r="B658" s="118"/>
      <c r="C658" s="128"/>
      <c r="D658" s="128"/>
      <c r="E658" s="128"/>
      <c r="F658" s="128"/>
      <c r="G658" s="128"/>
      <c r="H658" s="128"/>
      <c r="I658" s="12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</row>
    <row r="659" ht="10.5" customHeight="1">
      <c r="A659" s="127"/>
      <c r="B659" s="118"/>
      <c r="C659" s="128"/>
      <c r="D659" s="128"/>
      <c r="E659" s="128"/>
      <c r="F659" s="128"/>
      <c r="G659" s="128"/>
      <c r="H659" s="128"/>
      <c r="I659" s="12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</row>
    <row r="660" ht="10.5" customHeight="1">
      <c r="A660" s="127"/>
      <c r="B660" s="118"/>
      <c r="C660" s="128"/>
      <c r="D660" s="128"/>
      <c r="E660" s="128"/>
      <c r="F660" s="128"/>
      <c r="G660" s="128"/>
      <c r="H660" s="128"/>
      <c r="I660" s="12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</row>
    <row r="661" ht="10.5" customHeight="1">
      <c r="A661" s="127"/>
      <c r="B661" s="118"/>
      <c r="C661" s="128"/>
      <c r="D661" s="128"/>
      <c r="E661" s="128"/>
      <c r="F661" s="128"/>
      <c r="G661" s="128"/>
      <c r="H661" s="128"/>
      <c r="I661" s="12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</row>
    <row r="662" ht="10.5" customHeight="1">
      <c r="A662" s="127"/>
      <c r="B662" s="118"/>
      <c r="C662" s="128"/>
      <c r="D662" s="128"/>
      <c r="E662" s="128"/>
      <c r="F662" s="128"/>
      <c r="G662" s="128"/>
      <c r="H662" s="128"/>
      <c r="I662" s="12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</row>
    <row r="663" ht="10.5" customHeight="1">
      <c r="A663" s="127"/>
      <c r="B663" s="118"/>
      <c r="C663" s="128"/>
      <c r="D663" s="128"/>
      <c r="E663" s="128"/>
      <c r="F663" s="128"/>
      <c r="G663" s="128"/>
      <c r="H663" s="128"/>
      <c r="I663" s="12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</row>
    <row r="664" ht="10.5" customHeight="1">
      <c r="A664" s="127"/>
      <c r="B664" s="118"/>
      <c r="C664" s="128"/>
      <c r="D664" s="128"/>
      <c r="E664" s="128"/>
      <c r="F664" s="128"/>
      <c r="G664" s="128"/>
      <c r="H664" s="128"/>
      <c r="I664" s="12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</row>
    <row r="665" ht="10.5" customHeight="1">
      <c r="A665" s="127"/>
      <c r="B665" s="118"/>
      <c r="C665" s="128"/>
      <c r="D665" s="128"/>
      <c r="E665" s="128"/>
      <c r="F665" s="128"/>
      <c r="G665" s="128"/>
      <c r="H665" s="128"/>
      <c r="I665" s="12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</row>
    <row r="666" ht="10.5" customHeight="1">
      <c r="A666" s="127"/>
      <c r="B666" s="118"/>
      <c r="C666" s="128"/>
      <c r="D666" s="128"/>
      <c r="E666" s="128"/>
      <c r="F666" s="128"/>
      <c r="G666" s="128"/>
      <c r="H666" s="128"/>
      <c r="I666" s="12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</row>
    <row r="667" ht="10.5" customHeight="1">
      <c r="A667" s="127"/>
      <c r="B667" s="118"/>
      <c r="C667" s="128"/>
      <c r="D667" s="128"/>
      <c r="E667" s="128"/>
      <c r="F667" s="128"/>
      <c r="G667" s="128"/>
      <c r="H667" s="128"/>
      <c r="I667" s="12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</row>
    <row r="668" ht="10.5" customHeight="1">
      <c r="A668" s="127"/>
      <c r="B668" s="118"/>
      <c r="C668" s="128"/>
      <c r="D668" s="128"/>
      <c r="E668" s="128"/>
      <c r="F668" s="128"/>
      <c r="G668" s="128"/>
      <c r="H668" s="128"/>
      <c r="I668" s="12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</row>
    <row r="669" ht="10.5" customHeight="1">
      <c r="A669" s="127"/>
      <c r="B669" s="118"/>
      <c r="C669" s="128"/>
      <c r="D669" s="128"/>
      <c r="E669" s="128"/>
      <c r="F669" s="128"/>
      <c r="G669" s="128"/>
      <c r="H669" s="128"/>
      <c r="I669" s="12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</row>
    <row r="670" ht="10.5" customHeight="1">
      <c r="A670" s="127"/>
      <c r="B670" s="118"/>
      <c r="C670" s="128"/>
      <c r="D670" s="128"/>
      <c r="E670" s="128"/>
      <c r="F670" s="128"/>
      <c r="G670" s="128"/>
      <c r="H670" s="128"/>
      <c r="I670" s="12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</row>
    <row r="671" ht="10.5" customHeight="1">
      <c r="A671" s="127"/>
      <c r="B671" s="118"/>
      <c r="C671" s="128"/>
      <c r="D671" s="128"/>
      <c r="E671" s="128"/>
      <c r="F671" s="128"/>
      <c r="G671" s="128"/>
      <c r="H671" s="128"/>
      <c r="I671" s="12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</row>
    <row r="672" ht="10.5" customHeight="1">
      <c r="A672" s="127"/>
      <c r="B672" s="118"/>
      <c r="C672" s="128"/>
      <c r="D672" s="128"/>
      <c r="E672" s="128"/>
      <c r="F672" s="128"/>
      <c r="G672" s="128"/>
      <c r="H672" s="128"/>
      <c r="I672" s="12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</row>
    <row r="673" ht="10.5" customHeight="1">
      <c r="A673" s="127"/>
      <c r="B673" s="118"/>
      <c r="C673" s="128"/>
      <c r="D673" s="128"/>
      <c r="E673" s="128"/>
      <c r="F673" s="128"/>
      <c r="G673" s="128"/>
      <c r="H673" s="128"/>
      <c r="I673" s="12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</row>
    <row r="674" ht="10.5" customHeight="1">
      <c r="A674" s="127"/>
      <c r="B674" s="118"/>
      <c r="C674" s="128"/>
      <c r="D674" s="128"/>
      <c r="E674" s="128"/>
      <c r="F674" s="128"/>
      <c r="G674" s="128"/>
      <c r="H674" s="128"/>
      <c r="I674" s="12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</row>
    <row r="675" ht="10.5" customHeight="1">
      <c r="A675" s="127"/>
      <c r="B675" s="118"/>
      <c r="C675" s="128"/>
      <c r="D675" s="128"/>
      <c r="E675" s="128"/>
      <c r="F675" s="128"/>
      <c r="G675" s="128"/>
      <c r="H675" s="128"/>
      <c r="I675" s="12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</row>
    <row r="676" ht="10.5" customHeight="1">
      <c r="A676" s="127"/>
      <c r="B676" s="118"/>
      <c r="C676" s="128"/>
      <c r="D676" s="128"/>
      <c r="E676" s="128"/>
      <c r="F676" s="128"/>
      <c r="G676" s="128"/>
      <c r="H676" s="128"/>
      <c r="I676" s="12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</row>
    <row r="677" ht="10.5" customHeight="1">
      <c r="A677" s="127"/>
      <c r="B677" s="118"/>
      <c r="C677" s="128"/>
      <c r="D677" s="128"/>
      <c r="E677" s="128"/>
      <c r="F677" s="128"/>
      <c r="G677" s="128"/>
      <c r="H677" s="128"/>
      <c r="I677" s="12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</row>
    <row r="678" ht="10.5" customHeight="1">
      <c r="A678" s="127"/>
      <c r="B678" s="118"/>
      <c r="C678" s="128"/>
      <c r="D678" s="128"/>
      <c r="E678" s="128"/>
      <c r="F678" s="128"/>
      <c r="G678" s="128"/>
      <c r="H678" s="128"/>
      <c r="I678" s="12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</row>
    <row r="679" ht="10.5" customHeight="1">
      <c r="A679" s="127"/>
      <c r="B679" s="118"/>
      <c r="C679" s="128"/>
      <c r="D679" s="128"/>
      <c r="E679" s="128"/>
      <c r="F679" s="128"/>
      <c r="G679" s="128"/>
      <c r="H679" s="128"/>
      <c r="I679" s="12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</row>
    <row r="680" ht="10.5" customHeight="1">
      <c r="A680" s="127"/>
      <c r="B680" s="118"/>
      <c r="C680" s="128"/>
      <c r="D680" s="128"/>
      <c r="E680" s="128"/>
      <c r="F680" s="128"/>
      <c r="G680" s="128"/>
      <c r="H680" s="128"/>
      <c r="I680" s="12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</row>
    <row r="681" ht="10.5" customHeight="1">
      <c r="A681" s="127"/>
      <c r="B681" s="118"/>
      <c r="C681" s="128"/>
      <c r="D681" s="128"/>
      <c r="E681" s="128"/>
      <c r="F681" s="128"/>
      <c r="G681" s="128"/>
      <c r="H681" s="128"/>
      <c r="I681" s="12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</row>
    <row r="682" ht="10.5" customHeight="1">
      <c r="A682" s="127"/>
      <c r="B682" s="118"/>
      <c r="C682" s="128"/>
      <c r="D682" s="128"/>
      <c r="E682" s="128"/>
      <c r="F682" s="128"/>
      <c r="G682" s="128"/>
      <c r="H682" s="128"/>
      <c r="I682" s="12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</row>
    <row r="683" ht="10.5" customHeight="1">
      <c r="A683" s="127"/>
      <c r="B683" s="118"/>
      <c r="C683" s="128"/>
      <c r="D683" s="128"/>
      <c r="E683" s="128"/>
      <c r="F683" s="128"/>
      <c r="G683" s="128"/>
      <c r="H683" s="128"/>
      <c r="I683" s="12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</row>
    <row r="684" ht="10.5" customHeight="1">
      <c r="A684" s="127"/>
      <c r="B684" s="118"/>
      <c r="C684" s="128"/>
      <c r="D684" s="128"/>
      <c r="E684" s="128"/>
      <c r="F684" s="128"/>
      <c r="G684" s="128"/>
      <c r="H684" s="128"/>
      <c r="I684" s="12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</row>
    <row r="685" ht="10.5" customHeight="1">
      <c r="A685" s="127"/>
      <c r="B685" s="118"/>
      <c r="C685" s="128"/>
      <c r="D685" s="128"/>
      <c r="E685" s="128"/>
      <c r="F685" s="128"/>
      <c r="G685" s="128"/>
      <c r="H685" s="128"/>
      <c r="I685" s="12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</row>
    <row r="686" ht="10.5" customHeight="1">
      <c r="A686" s="127"/>
      <c r="B686" s="118"/>
      <c r="C686" s="128"/>
      <c r="D686" s="128"/>
      <c r="E686" s="128"/>
      <c r="F686" s="128"/>
      <c r="G686" s="128"/>
      <c r="H686" s="128"/>
      <c r="I686" s="12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</row>
    <row r="687" ht="10.5" customHeight="1">
      <c r="A687" s="127"/>
      <c r="B687" s="118"/>
      <c r="C687" s="128"/>
      <c r="D687" s="128"/>
      <c r="E687" s="128"/>
      <c r="F687" s="128"/>
      <c r="G687" s="128"/>
      <c r="H687" s="128"/>
      <c r="I687" s="12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</row>
    <row r="688" ht="10.5" customHeight="1">
      <c r="A688" s="127"/>
      <c r="B688" s="118"/>
      <c r="C688" s="128"/>
      <c r="D688" s="128"/>
      <c r="E688" s="128"/>
      <c r="F688" s="128"/>
      <c r="G688" s="128"/>
      <c r="H688" s="128"/>
      <c r="I688" s="12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</row>
    <row r="689" ht="10.5" customHeight="1">
      <c r="A689" s="127"/>
      <c r="B689" s="118"/>
      <c r="C689" s="128"/>
      <c r="D689" s="128"/>
      <c r="E689" s="128"/>
      <c r="F689" s="128"/>
      <c r="G689" s="128"/>
      <c r="H689" s="128"/>
      <c r="I689" s="12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</row>
    <row r="690" ht="10.5" customHeight="1">
      <c r="A690" s="127"/>
      <c r="B690" s="118"/>
      <c r="C690" s="128"/>
      <c r="D690" s="128"/>
      <c r="E690" s="128"/>
      <c r="F690" s="128"/>
      <c r="G690" s="128"/>
      <c r="H690" s="128"/>
      <c r="I690" s="12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</row>
    <row r="691" ht="10.5" customHeight="1">
      <c r="A691" s="127"/>
      <c r="B691" s="118"/>
      <c r="C691" s="128"/>
      <c r="D691" s="128"/>
      <c r="E691" s="128"/>
      <c r="F691" s="128"/>
      <c r="G691" s="128"/>
      <c r="H691" s="128"/>
      <c r="I691" s="12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</row>
    <row r="692" ht="10.5" customHeight="1">
      <c r="A692" s="127"/>
      <c r="B692" s="118"/>
      <c r="C692" s="128"/>
      <c r="D692" s="128"/>
      <c r="E692" s="128"/>
      <c r="F692" s="128"/>
      <c r="G692" s="128"/>
      <c r="H692" s="128"/>
      <c r="I692" s="12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</row>
    <row r="693" ht="10.5" customHeight="1">
      <c r="A693" s="127"/>
      <c r="B693" s="118"/>
      <c r="C693" s="128"/>
      <c r="D693" s="128"/>
      <c r="E693" s="128"/>
      <c r="F693" s="128"/>
      <c r="G693" s="128"/>
      <c r="H693" s="128"/>
      <c r="I693" s="12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</row>
    <row r="694" ht="10.5" customHeight="1">
      <c r="A694" s="127"/>
      <c r="B694" s="118"/>
      <c r="C694" s="128"/>
      <c r="D694" s="128"/>
      <c r="E694" s="128"/>
      <c r="F694" s="128"/>
      <c r="G694" s="128"/>
      <c r="H694" s="128"/>
      <c r="I694" s="12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</row>
    <row r="695" ht="10.5" customHeight="1">
      <c r="A695" s="127"/>
      <c r="B695" s="118"/>
      <c r="C695" s="128"/>
      <c r="D695" s="128"/>
      <c r="E695" s="128"/>
      <c r="F695" s="128"/>
      <c r="G695" s="128"/>
      <c r="H695" s="128"/>
      <c r="I695" s="12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</row>
    <row r="696" ht="10.5" customHeight="1">
      <c r="A696" s="127"/>
      <c r="B696" s="118"/>
      <c r="C696" s="128"/>
      <c r="D696" s="128"/>
      <c r="E696" s="128"/>
      <c r="F696" s="128"/>
      <c r="G696" s="128"/>
      <c r="H696" s="128"/>
      <c r="I696" s="12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</row>
    <row r="697" ht="10.5" customHeight="1">
      <c r="A697" s="127"/>
      <c r="B697" s="118"/>
      <c r="C697" s="128"/>
      <c r="D697" s="128"/>
      <c r="E697" s="128"/>
      <c r="F697" s="128"/>
      <c r="G697" s="128"/>
      <c r="H697" s="128"/>
      <c r="I697" s="12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</row>
    <row r="698" ht="10.5" customHeight="1">
      <c r="A698" s="127"/>
      <c r="B698" s="118"/>
      <c r="C698" s="128"/>
      <c r="D698" s="128"/>
      <c r="E698" s="128"/>
      <c r="F698" s="128"/>
      <c r="G698" s="128"/>
      <c r="H698" s="128"/>
      <c r="I698" s="12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</row>
    <row r="699" ht="10.5" customHeight="1">
      <c r="A699" s="127"/>
      <c r="B699" s="118"/>
      <c r="C699" s="128"/>
      <c r="D699" s="128"/>
      <c r="E699" s="128"/>
      <c r="F699" s="128"/>
      <c r="G699" s="128"/>
      <c r="H699" s="128"/>
      <c r="I699" s="12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</row>
    <row r="700" ht="10.5" customHeight="1">
      <c r="A700" s="127"/>
      <c r="B700" s="118"/>
      <c r="C700" s="128"/>
      <c r="D700" s="128"/>
      <c r="E700" s="128"/>
      <c r="F700" s="128"/>
      <c r="G700" s="128"/>
      <c r="H700" s="128"/>
      <c r="I700" s="12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</row>
    <row r="701" ht="10.5" customHeight="1">
      <c r="A701" s="127"/>
      <c r="B701" s="118"/>
      <c r="C701" s="128"/>
      <c r="D701" s="128"/>
      <c r="E701" s="128"/>
      <c r="F701" s="128"/>
      <c r="G701" s="128"/>
      <c r="H701" s="128"/>
      <c r="I701" s="12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</row>
    <row r="702" ht="10.5" customHeight="1">
      <c r="A702" s="127"/>
      <c r="B702" s="118"/>
      <c r="C702" s="128"/>
      <c r="D702" s="128"/>
      <c r="E702" s="128"/>
      <c r="F702" s="128"/>
      <c r="G702" s="128"/>
      <c r="H702" s="128"/>
      <c r="I702" s="12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</row>
    <row r="703" ht="10.5" customHeight="1">
      <c r="A703" s="127"/>
      <c r="B703" s="118"/>
      <c r="C703" s="128"/>
      <c r="D703" s="128"/>
      <c r="E703" s="128"/>
      <c r="F703" s="128"/>
      <c r="G703" s="128"/>
      <c r="H703" s="128"/>
      <c r="I703" s="12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</row>
    <row r="704" ht="10.5" customHeight="1">
      <c r="A704" s="127"/>
      <c r="B704" s="118"/>
      <c r="C704" s="128"/>
      <c r="D704" s="128"/>
      <c r="E704" s="128"/>
      <c r="F704" s="128"/>
      <c r="G704" s="128"/>
      <c r="H704" s="128"/>
      <c r="I704" s="12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</row>
    <row r="705" ht="10.5" customHeight="1">
      <c r="A705" s="127"/>
      <c r="B705" s="118"/>
      <c r="C705" s="128"/>
      <c r="D705" s="128"/>
      <c r="E705" s="128"/>
      <c r="F705" s="128"/>
      <c r="G705" s="128"/>
      <c r="H705" s="128"/>
      <c r="I705" s="12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</row>
    <row r="706" ht="10.5" customHeight="1">
      <c r="A706" s="127"/>
      <c r="B706" s="118"/>
      <c r="C706" s="128"/>
      <c r="D706" s="128"/>
      <c r="E706" s="128"/>
      <c r="F706" s="128"/>
      <c r="G706" s="128"/>
      <c r="H706" s="128"/>
      <c r="I706" s="12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</row>
    <row r="707" ht="10.5" customHeight="1">
      <c r="A707" s="127"/>
      <c r="B707" s="118"/>
      <c r="C707" s="128"/>
      <c r="D707" s="128"/>
      <c r="E707" s="128"/>
      <c r="F707" s="128"/>
      <c r="G707" s="128"/>
      <c r="H707" s="128"/>
      <c r="I707" s="12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</row>
    <row r="708" ht="10.5" customHeight="1">
      <c r="A708" s="127"/>
      <c r="B708" s="118"/>
      <c r="C708" s="128"/>
      <c r="D708" s="128"/>
      <c r="E708" s="128"/>
      <c r="F708" s="128"/>
      <c r="G708" s="128"/>
      <c r="H708" s="128"/>
      <c r="I708" s="12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</row>
    <row r="709" ht="10.5" customHeight="1">
      <c r="A709" s="127"/>
      <c r="B709" s="118"/>
      <c r="C709" s="128"/>
      <c r="D709" s="128"/>
      <c r="E709" s="128"/>
      <c r="F709" s="128"/>
      <c r="G709" s="128"/>
      <c r="H709" s="128"/>
      <c r="I709" s="12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</row>
    <row r="710" ht="10.5" customHeight="1">
      <c r="A710" s="127"/>
      <c r="B710" s="118"/>
      <c r="C710" s="128"/>
      <c r="D710" s="128"/>
      <c r="E710" s="128"/>
      <c r="F710" s="128"/>
      <c r="G710" s="128"/>
      <c r="H710" s="128"/>
      <c r="I710" s="12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</row>
    <row r="711" ht="10.5" customHeight="1">
      <c r="A711" s="127"/>
      <c r="B711" s="118"/>
      <c r="C711" s="128"/>
      <c r="D711" s="128"/>
      <c r="E711" s="128"/>
      <c r="F711" s="128"/>
      <c r="G711" s="128"/>
      <c r="H711" s="128"/>
      <c r="I711" s="12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</row>
    <row r="712" ht="10.5" customHeight="1">
      <c r="A712" s="127"/>
      <c r="B712" s="118"/>
      <c r="C712" s="128"/>
      <c r="D712" s="128"/>
      <c r="E712" s="128"/>
      <c r="F712" s="128"/>
      <c r="G712" s="128"/>
      <c r="H712" s="128"/>
      <c r="I712" s="12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</row>
    <row r="713" ht="10.5" customHeight="1">
      <c r="A713" s="127"/>
      <c r="B713" s="118"/>
      <c r="C713" s="128"/>
      <c r="D713" s="128"/>
      <c r="E713" s="128"/>
      <c r="F713" s="128"/>
      <c r="G713" s="128"/>
      <c r="H713" s="128"/>
      <c r="I713" s="12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</row>
    <row r="714" ht="10.5" customHeight="1">
      <c r="A714" s="127"/>
      <c r="B714" s="118"/>
      <c r="C714" s="128"/>
      <c r="D714" s="128"/>
      <c r="E714" s="128"/>
      <c r="F714" s="128"/>
      <c r="G714" s="128"/>
      <c r="H714" s="128"/>
      <c r="I714" s="12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</row>
    <row r="715" ht="10.5" customHeight="1">
      <c r="A715" s="127"/>
      <c r="B715" s="118"/>
      <c r="C715" s="128"/>
      <c r="D715" s="128"/>
      <c r="E715" s="128"/>
      <c r="F715" s="128"/>
      <c r="G715" s="128"/>
      <c r="H715" s="128"/>
      <c r="I715" s="12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</row>
    <row r="716" ht="10.5" customHeight="1">
      <c r="A716" s="127"/>
      <c r="B716" s="118"/>
      <c r="C716" s="128"/>
      <c r="D716" s="128"/>
      <c r="E716" s="128"/>
      <c r="F716" s="128"/>
      <c r="G716" s="128"/>
      <c r="H716" s="128"/>
      <c r="I716" s="12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</row>
    <row r="717" ht="10.5" customHeight="1">
      <c r="A717" s="127"/>
      <c r="B717" s="118"/>
      <c r="C717" s="128"/>
      <c r="D717" s="128"/>
      <c r="E717" s="128"/>
      <c r="F717" s="128"/>
      <c r="G717" s="128"/>
      <c r="H717" s="128"/>
      <c r="I717" s="12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</row>
    <row r="718" ht="10.5" customHeight="1">
      <c r="A718" s="127"/>
      <c r="B718" s="118"/>
      <c r="C718" s="128"/>
      <c r="D718" s="128"/>
      <c r="E718" s="128"/>
      <c r="F718" s="128"/>
      <c r="G718" s="128"/>
      <c r="H718" s="128"/>
      <c r="I718" s="12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</row>
    <row r="719" ht="10.5" customHeight="1">
      <c r="A719" s="127"/>
      <c r="B719" s="118"/>
      <c r="C719" s="128"/>
      <c r="D719" s="128"/>
      <c r="E719" s="128"/>
      <c r="F719" s="128"/>
      <c r="G719" s="128"/>
      <c r="H719" s="128"/>
      <c r="I719" s="12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</row>
    <row r="720" ht="10.5" customHeight="1">
      <c r="A720" s="127"/>
      <c r="B720" s="118"/>
      <c r="C720" s="128"/>
      <c r="D720" s="128"/>
      <c r="E720" s="128"/>
      <c r="F720" s="128"/>
      <c r="G720" s="128"/>
      <c r="H720" s="128"/>
      <c r="I720" s="12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</row>
    <row r="721" ht="10.5" customHeight="1">
      <c r="A721" s="127"/>
      <c r="B721" s="118"/>
      <c r="C721" s="128"/>
      <c r="D721" s="128"/>
      <c r="E721" s="128"/>
      <c r="F721" s="128"/>
      <c r="G721" s="128"/>
      <c r="H721" s="128"/>
      <c r="I721" s="12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</row>
    <row r="722" ht="10.5" customHeight="1">
      <c r="A722" s="127"/>
      <c r="B722" s="118"/>
      <c r="C722" s="128"/>
      <c r="D722" s="128"/>
      <c r="E722" s="128"/>
      <c r="F722" s="128"/>
      <c r="G722" s="128"/>
      <c r="H722" s="128"/>
      <c r="I722" s="12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</row>
    <row r="723" ht="10.5" customHeight="1">
      <c r="A723" s="127"/>
      <c r="B723" s="118"/>
      <c r="C723" s="128"/>
      <c r="D723" s="128"/>
      <c r="E723" s="128"/>
      <c r="F723" s="128"/>
      <c r="G723" s="128"/>
      <c r="H723" s="128"/>
      <c r="I723" s="12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</row>
    <row r="724" ht="10.5" customHeight="1">
      <c r="A724" s="127"/>
      <c r="B724" s="118"/>
      <c r="C724" s="128"/>
      <c r="D724" s="128"/>
      <c r="E724" s="128"/>
      <c r="F724" s="128"/>
      <c r="G724" s="128"/>
      <c r="H724" s="128"/>
      <c r="I724" s="12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</row>
    <row r="725" ht="10.5" customHeight="1">
      <c r="A725" s="127"/>
      <c r="B725" s="118"/>
      <c r="C725" s="128"/>
      <c r="D725" s="128"/>
      <c r="E725" s="128"/>
      <c r="F725" s="128"/>
      <c r="G725" s="128"/>
      <c r="H725" s="128"/>
      <c r="I725" s="12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</row>
    <row r="726" ht="10.5" customHeight="1">
      <c r="A726" s="127"/>
      <c r="B726" s="118"/>
      <c r="C726" s="128"/>
      <c r="D726" s="128"/>
      <c r="E726" s="128"/>
      <c r="F726" s="128"/>
      <c r="G726" s="128"/>
      <c r="H726" s="128"/>
      <c r="I726" s="12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</row>
    <row r="727" ht="10.5" customHeight="1">
      <c r="A727" s="127"/>
      <c r="B727" s="118"/>
      <c r="C727" s="128"/>
      <c r="D727" s="128"/>
      <c r="E727" s="128"/>
      <c r="F727" s="128"/>
      <c r="G727" s="128"/>
      <c r="H727" s="128"/>
      <c r="I727" s="12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</row>
    <row r="728" ht="10.5" customHeight="1">
      <c r="A728" s="127"/>
      <c r="B728" s="118"/>
      <c r="C728" s="128"/>
      <c r="D728" s="128"/>
      <c r="E728" s="128"/>
      <c r="F728" s="128"/>
      <c r="G728" s="128"/>
      <c r="H728" s="128"/>
      <c r="I728" s="12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</row>
    <row r="729" ht="10.5" customHeight="1">
      <c r="A729" s="127"/>
      <c r="B729" s="118"/>
      <c r="C729" s="128"/>
      <c r="D729" s="128"/>
      <c r="E729" s="128"/>
      <c r="F729" s="128"/>
      <c r="G729" s="128"/>
      <c r="H729" s="128"/>
      <c r="I729" s="12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</row>
    <row r="730" ht="10.5" customHeight="1">
      <c r="A730" s="127"/>
      <c r="B730" s="118"/>
      <c r="C730" s="128"/>
      <c r="D730" s="128"/>
      <c r="E730" s="128"/>
      <c r="F730" s="128"/>
      <c r="G730" s="128"/>
      <c r="H730" s="128"/>
      <c r="I730" s="12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</row>
    <row r="731" ht="10.5" customHeight="1">
      <c r="A731" s="127"/>
      <c r="B731" s="118"/>
      <c r="C731" s="128"/>
      <c r="D731" s="128"/>
      <c r="E731" s="128"/>
      <c r="F731" s="128"/>
      <c r="G731" s="128"/>
      <c r="H731" s="128"/>
      <c r="I731" s="12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</row>
    <row r="732" ht="10.5" customHeight="1">
      <c r="A732" s="127"/>
      <c r="B732" s="118"/>
      <c r="C732" s="128"/>
      <c r="D732" s="128"/>
      <c r="E732" s="128"/>
      <c r="F732" s="128"/>
      <c r="G732" s="128"/>
      <c r="H732" s="128"/>
      <c r="I732" s="12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</row>
    <row r="733" ht="10.5" customHeight="1">
      <c r="A733" s="127"/>
      <c r="B733" s="118"/>
      <c r="C733" s="128"/>
      <c r="D733" s="128"/>
      <c r="E733" s="128"/>
      <c r="F733" s="128"/>
      <c r="G733" s="128"/>
      <c r="H733" s="128"/>
      <c r="I733" s="12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</row>
    <row r="734" ht="10.5" customHeight="1">
      <c r="A734" s="127"/>
      <c r="B734" s="118"/>
      <c r="C734" s="128"/>
      <c r="D734" s="128"/>
      <c r="E734" s="128"/>
      <c r="F734" s="128"/>
      <c r="G734" s="128"/>
      <c r="H734" s="128"/>
      <c r="I734" s="12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</row>
    <row r="735" ht="10.5" customHeight="1">
      <c r="A735" s="127"/>
      <c r="B735" s="118"/>
      <c r="C735" s="128"/>
      <c r="D735" s="128"/>
      <c r="E735" s="128"/>
      <c r="F735" s="128"/>
      <c r="G735" s="128"/>
      <c r="H735" s="128"/>
      <c r="I735" s="12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</row>
    <row r="736" ht="10.5" customHeight="1">
      <c r="A736" s="127"/>
      <c r="B736" s="118"/>
      <c r="C736" s="128"/>
      <c r="D736" s="128"/>
      <c r="E736" s="128"/>
      <c r="F736" s="128"/>
      <c r="G736" s="128"/>
      <c r="H736" s="128"/>
      <c r="I736" s="12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</row>
    <row r="737" ht="10.5" customHeight="1">
      <c r="A737" s="127"/>
      <c r="B737" s="118"/>
      <c r="C737" s="128"/>
      <c r="D737" s="128"/>
      <c r="E737" s="128"/>
      <c r="F737" s="128"/>
      <c r="G737" s="128"/>
      <c r="H737" s="128"/>
      <c r="I737" s="12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</row>
    <row r="738" ht="10.5" customHeight="1">
      <c r="A738" s="127"/>
      <c r="B738" s="118"/>
      <c r="C738" s="128"/>
      <c r="D738" s="128"/>
      <c r="E738" s="128"/>
      <c r="F738" s="128"/>
      <c r="G738" s="128"/>
      <c r="H738" s="128"/>
      <c r="I738" s="12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</row>
    <row r="739" ht="10.5" customHeight="1">
      <c r="A739" s="127"/>
      <c r="B739" s="118"/>
      <c r="C739" s="128"/>
      <c r="D739" s="128"/>
      <c r="E739" s="128"/>
      <c r="F739" s="128"/>
      <c r="G739" s="128"/>
      <c r="H739" s="128"/>
      <c r="I739" s="12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</row>
    <row r="740" ht="10.5" customHeight="1">
      <c r="A740" s="127"/>
      <c r="B740" s="118"/>
      <c r="C740" s="128"/>
      <c r="D740" s="128"/>
      <c r="E740" s="128"/>
      <c r="F740" s="128"/>
      <c r="G740" s="128"/>
      <c r="H740" s="128"/>
      <c r="I740" s="12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</row>
    <row r="741" ht="10.5" customHeight="1">
      <c r="A741" s="127"/>
      <c r="B741" s="118"/>
      <c r="C741" s="128"/>
      <c r="D741" s="128"/>
      <c r="E741" s="128"/>
      <c r="F741" s="128"/>
      <c r="G741" s="128"/>
      <c r="H741" s="128"/>
      <c r="I741" s="12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</row>
    <row r="742" ht="10.5" customHeight="1">
      <c r="A742" s="127"/>
      <c r="B742" s="118"/>
      <c r="C742" s="128"/>
      <c r="D742" s="128"/>
      <c r="E742" s="128"/>
      <c r="F742" s="128"/>
      <c r="G742" s="128"/>
      <c r="H742" s="128"/>
      <c r="I742" s="12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</row>
    <row r="743" ht="10.5" customHeight="1">
      <c r="A743" s="127"/>
      <c r="B743" s="118"/>
      <c r="C743" s="128"/>
      <c r="D743" s="128"/>
      <c r="E743" s="128"/>
      <c r="F743" s="128"/>
      <c r="G743" s="128"/>
      <c r="H743" s="128"/>
      <c r="I743" s="12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</row>
    <row r="744" ht="10.5" customHeight="1">
      <c r="A744" s="127"/>
      <c r="B744" s="118"/>
      <c r="C744" s="128"/>
      <c r="D744" s="128"/>
      <c r="E744" s="128"/>
      <c r="F744" s="128"/>
      <c r="G744" s="128"/>
      <c r="H744" s="128"/>
      <c r="I744" s="12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</row>
    <row r="745" ht="10.5" customHeight="1">
      <c r="A745" s="127"/>
      <c r="B745" s="118"/>
      <c r="C745" s="128"/>
      <c r="D745" s="128"/>
      <c r="E745" s="128"/>
      <c r="F745" s="128"/>
      <c r="G745" s="128"/>
      <c r="H745" s="128"/>
      <c r="I745" s="12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</row>
    <row r="746" ht="10.5" customHeight="1">
      <c r="A746" s="127"/>
      <c r="B746" s="118"/>
      <c r="C746" s="128"/>
      <c r="D746" s="128"/>
      <c r="E746" s="128"/>
      <c r="F746" s="128"/>
      <c r="G746" s="128"/>
      <c r="H746" s="128"/>
      <c r="I746" s="12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</row>
    <row r="747" ht="10.5" customHeight="1">
      <c r="A747" s="127"/>
      <c r="B747" s="118"/>
      <c r="C747" s="128"/>
      <c r="D747" s="128"/>
      <c r="E747" s="128"/>
      <c r="F747" s="128"/>
      <c r="G747" s="128"/>
      <c r="H747" s="128"/>
      <c r="I747" s="12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</row>
    <row r="748" ht="10.5" customHeight="1">
      <c r="A748" s="127"/>
      <c r="B748" s="118"/>
      <c r="C748" s="128"/>
      <c r="D748" s="128"/>
      <c r="E748" s="128"/>
      <c r="F748" s="128"/>
      <c r="G748" s="128"/>
      <c r="H748" s="128"/>
      <c r="I748" s="12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</row>
    <row r="749" ht="10.5" customHeight="1">
      <c r="A749" s="127"/>
      <c r="B749" s="118"/>
      <c r="C749" s="128"/>
      <c r="D749" s="128"/>
      <c r="E749" s="128"/>
      <c r="F749" s="128"/>
      <c r="G749" s="128"/>
      <c r="H749" s="128"/>
      <c r="I749" s="12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</row>
    <row r="750" ht="10.5" customHeight="1">
      <c r="A750" s="127"/>
      <c r="B750" s="118"/>
      <c r="C750" s="128"/>
      <c r="D750" s="128"/>
      <c r="E750" s="128"/>
      <c r="F750" s="128"/>
      <c r="G750" s="128"/>
      <c r="H750" s="128"/>
      <c r="I750" s="12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</row>
    <row r="751" ht="10.5" customHeight="1">
      <c r="A751" s="127"/>
      <c r="B751" s="118"/>
      <c r="C751" s="128"/>
      <c r="D751" s="128"/>
      <c r="E751" s="128"/>
      <c r="F751" s="128"/>
      <c r="G751" s="128"/>
      <c r="H751" s="128"/>
      <c r="I751" s="12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</row>
    <row r="752" ht="10.5" customHeight="1">
      <c r="A752" s="127"/>
      <c r="B752" s="118"/>
      <c r="C752" s="128"/>
      <c r="D752" s="128"/>
      <c r="E752" s="128"/>
      <c r="F752" s="128"/>
      <c r="G752" s="128"/>
      <c r="H752" s="128"/>
      <c r="I752" s="12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</row>
    <row r="753" ht="10.5" customHeight="1">
      <c r="A753" s="127"/>
      <c r="B753" s="118"/>
      <c r="C753" s="128"/>
      <c r="D753" s="128"/>
      <c r="E753" s="128"/>
      <c r="F753" s="128"/>
      <c r="G753" s="128"/>
      <c r="H753" s="128"/>
      <c r="I753" s="12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</row>
    <row r="754" ht="10.5" customHeight="1">
      <c r="A754" s="127"/>
      <c r="B754" s="118"/>
      <c r="C754" s="128"/>
      <c r="D754" s="128"/>
      <c r="E754" s="128"/>
      <c r="F754" s="128"/>
      <c r="G754" s="128"/>
      <c r="H754" s="128"/>
      <c r="I754" s="12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</row>
    <row r="755" ht="10.5" customHeight="1">
      <c r="A755" s="127"/>
      <c r="B755" s="118"/>
      <c r="C755" s="128"/>
      <c r="D755" s="128"/>
      <c r="E755" s="128"/>
      <c r="F755" s="128"/>
      <c r="G755" s="128"/>
      <c r="H755" s="128"/>
      <c r="I755" s="12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</row>
    <row r="756" ht="10.5" customHeight="1">
      <c r="A756" s="127"/>
      <c r="B756" s="118"/>
      <c r="C756" s="128"/>
      <c r="D756" s="128"/>
      <c r="E756" s="128"/>
      <c r="F756" s="128"/>
      <c r="G756" s="128"/>
      <c r="H756" s="128"/>
      <c r="I756" s="12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</row>
    <row r="757" ht="10.5" customHeight="1">
      <c r="A757" s="127"/>
      <c r="B757" s="118"/>
      <c r="C757" s="128"/>
      <c r="D757" s="128"/>
      <c r="E757" s="128"/>
      <c r="F757" s="128"/>
      <c r="G757" s="128"/>
      <c r="H757" s="128"/>
      <c r="I757" s="12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</row>
    <row r="758" ht="10.5" customHeight="1">
      <c r="A758" s="127"/>
      <c r="B758" s="118"/>
      <c r="C758" s="128"/>
      <c r="D758" s="128"/>
      <c r="E758" s="128"/>
      <c r="F758" s="128"/>
      <c r="G758" s="128"/>
      <c r="H758" s="128"/>
      <c r="I758" s="12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</row>
    <row r="759" ht="10.5" customHeight="1">
      <c r="A759" s="127"/>
      <c r="B759" s="118"/>
      <c r="C759" s="128"/>
      <c r="D759" s="128"/>
      <c r="E759" s="128"/>
      <c r="F759" s="128"/>
      <c r="G759" s="128"/>
      <c r="H759" s="128"/>
      <c r="I759" s="12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</row>
    <row r="760" ht="10.5" customHeight="1">
      <c r="A760" s="127"/>
      <c r="B760" s="118"/>
      <c r="C760" s="128"/>
      <c r="D760" s="128"/>
      <c r="E760" s="128"/>
      <c r="F760" s="128"/>
      <c r="G760" s="128"/>
      <c r="H760" s="128"/>
      <c r="I760" s="12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</row>
    <row r="761" ht="10.5" customHeight="1">
      <c r="A761" s="127"/>
      <c r="B761" s="118"/>
      <c r="C761" s="128"/>
      <c r="D761" s="128"/>
      <c r="E761" s="128"/>
      <c r="F761" s="128"/>
      <c r="G761" s="128"/>
      <c r="H761" s="128"/>
      <c r="I761" s="12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</row>
    <row r="762" ht="10.5" customHeight="1">
      <c r="A762" s="127"/>
      <c r="B762" s="118"/>
      <c r="C762" s="128"/>
      <c r="D762" s="128"/>
      <c r="E762" s="128"/>
      <c r="F762" s="128"/>
      <c r="G762" s="128"/>
      <c r="H762" s="128"/>
      <c r="I762" s="12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</row>
    <row r="763" ht="10.5" customHeight="1">
      <c r="A763" s="127"/>
      <c r="B763" s="118"/>
      <c r="C763" s="128"/>
      <c r="D763" s="128"/>
      <c r="E763" s="128"/>
      <c r="F763" s="128"/>
      <c r="G763" s="128"/>
      <c r="H763" s="128"/>
      <c r="I763" s="12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</row>
    <row r="764" ht="10.5" customHeight="1">
      <c r="A764" s="127"/>
      <c r="B764" s="118"/>
      <c r="C764" s="128"/>
      <c r="D764" s="128"/>
      <c r="E764" s="128"/>
      <c r="F764" s="128"/>
      <c r="G764" s="128"/>
      <c r="H764" s="128"/>
      <c r="I764" s="12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</row>
    <row r="765" ht="10.5" customHeight="1">
      <c r="A765" s="127"/>
      <c r="B765" s="118"/>
      <c r="C765" s="128"/>
      <c r="D765" s="128"/>
      <c r="E765" s="128"/>
      <c r="F765" s="128"/>
      <c r="G765" s="128"/>
      <c r="H765" s="128"/>
      <c r="I765" s="12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</row>
    <row r="766" ht="10.5" customHeight="1">
      <c r="A766" s="127"/>
      <c r="B766" s="118"/>
      <c r="C766" s="128"/>
      <c r="D766" s="128"/>
      <c r="E766" s="128"/>
      <c r="F766" s="128"/>
      <c r="G766" s="128"/>
      <c r="H766" s="128"/>
      <c r="I766" s="12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</row>
    <row r="767" ht="10.5" customHeight="1">
      <c r="A767" s="127"/>
      <c r="B767" s="118"/>
      <c r="C767" s="128"/>
      <c r="D767" s="128"/>
      <c r="E767" s="128"/>
      <c r="F767" s="128"/>
      <c r="G767" s="128"/>
      <c r="H767" s="128"/>
      <c r="I767" s="12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</row>
    <row r="768" ht="10.5" customHeight="1">
      <c r="A768" s="127"/>
      <c r="B768" s="118"/>
      <c r="C768" s="128"/>
      <c r="D768" s="128"/>
      <c r="E768" s="128"/>
      <c r="F768" s="128"/>
      <c r="G768" s="128"/>
      <c r="H768" s="128"/>
      <c r="I768" s="12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</row>
    <row r="769" ht="10.5" customHeight="1">
      <c r="A769" s="127"/>
      <c r="B769" s="118"/>
      <c r="C769" s="128"/>
      <c r="D769" s="128"/>
      <c r="E769" s="128"/>
      <c r="F769" s="128"/>
      <c r="G769" s="128"/>
      <c r="H769" s="128"/>
      <c r="I769" s="12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</row>
    <row r="770" ht="10.5" customHeight="1">
      <c r="A770" s="127"/>
      <c r="B770" s="118"/>
      <c r="C770" s="128"/>
      <c r="D770" s="128"/>
      <c r="E770" s="128"/>
      <c r="F770" s="128"/>
      <c r="G770" s="128"/>
      <c r="H770" s="128"/>
      <c r="I770" s="12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</row>
    <row r="771" ht="10.5" customHeight="1">
      <c r="A771" s="127"/>
      <c r="B771" s="118"/>
      <c r="C771" s="128"/>
      <c r="D771" s="128"/>
      <c r="E771" s="128"/>
      <c r="F771" s="128"/>
      <c r="G771" s="128"/>
      <c r="H771" s="128"/>
      <c r="I771" s="12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</row>
    <row r="772" ht="10.5" customHeight="1">
      <c r="A772" s="127"/>
      <c r="B772" s="118"/>
      <c r="C772" s="128"/>
      <c r="D772" s="128"/>
      <c r="E772" s="128"/>
      <c r="F772" s="128"/>
      <c r="G772" s="128"/>
      <c r="H772" s="128"/>
      <c r="I772" s="12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</row>
    <row r="773" ht="10.5" customHeight="1">
      <c r="A773" s="127"/>
      <c r="B773" s="118"/>
      <c r="C773" s="128"/>
      <c r="D773" s="128"/>
      <c r="E773" s="128"/>
      <c r="F773" s="128"/>
      <c r="G773" s="128"/>
      <c r="H773" s="128"/>
      <c r="I773" s="12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</row>
    <row r="774" ht="10.5" customHeight="1">
      <c r="A774" s="127"/>
      <c r="B774" s="118"/>
      <c r="C774" s="128"/>
      <c r="D774" s="128"/>
      <c r="E774" s="128"/>
      <c r="F774" s="128"/>
      <c r="G774" s="128"/>
      <c r="H774" s="128"/>
      <c r="I774" s="12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</row>
    <row r="775" ht="10.5" customHeight="1">
      <c r="A775" s="127"/>
      <c r="B775" s="118"/>
      <c r="C775" s="128"/>
      <c r="D775" s="128"/>
      <c r="E775" s="128"/>
      <c r="F775" s="128"/>
      <c r="G775" s="128"/>
      <c r="H775" s="128"/>
      <c r="I775" s="12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</row>
    <row r="776" ht="10.5" customHeight="1">
      <c r="A776" s="127"/>
      <c r="B776" s="118"/>
      <c r="C776" s="128"/>
      <c r="D776" s="128"/>
      <c r="E776" s="128"/>
      <c r="F776" s="128"/>
      <c r="G776" s="128"/>
      <c r="H776" s="128"/>
      <c r="I776" s="12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</row>
    <row r="777" ht="10.5" customHeight="1">
      <c r="A777" s="127"/>
      <c r="B777" s="118"/>
      <c r="C777" s="128"/>
      <c r="D777" s="128"/>
      <c r="E777" s="128"/>
      <c r="F777" s="128"/>
      <c r="G777" s="128"/>
      <c r="H777" s="128"/>
      <c r="I777" s="12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</row>
    <row r="778" ht="10.5" customHeight="1">
      <c r="A778" s="127"/>
      <c r="B778" s="118"/>
      <c r="C778" s="128"/>
      <c r="D778" s="128"/>
      <c r="E778" s="128"/>
      <c r="F778" s="128"/>
      <c r="G778" s="128"/>
      <c r="H778" s="128"/>
      <c r="I778" s="12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</row>
    <row r="779" ht="10.5" customHeight="1">
      <c r="A779" s="127"/>
      <c r="B779" s="118"/>
      <c r="C779" s="128"/>
      <c r="D779" s="128"/>
      <c r="E779" s="128"/>
      <c r="F779" s="128"/>
      <c r="G779" s="128"/>
      <c r="H779" s="128"/>
      <c r="I779" s="12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</row>
    <row r="780" ht="10.5" customHeight="1">
      <c r="A780" s="127"/>
      <c r="B780" s="118"/>
      <c r="C780" s="128"/>
      <c r="D780" s="128"/>
      <c r="E780" s="128"/>
      <c r="F780" s="128"/>
      <c r="G780" s="128"/>
      <c r="H780" s="128"/>
      <c r="I780" s="12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</row>
    <row r="781" ht="10.5" customHeight="1">
      <c r="A781" s="127"/>
      <c r="B781" s="118"/>
      <c r="C781" s="128"/>
      <c r="D781" s="128"/>
      <c r="E781" s="128"/>
      <c r="F781" s="128"/>
      <c r="G781" s="128"/>
      <c r="H781" s="128"/>
      <c r="I781" s="12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</row>
    <row r="782" ht="10.5" customHeight="1">
      <c r="A782" s="127"/>
      <c r="B782" s="118"/>
      <c r="C782" s="128"/>
      <c r="D782" s="128"/>
      <c r="E782" s="128"/>
      <c r="F782" s="128"/>
      <c r="G782" s="128"/>
      <c r="H782" s="128"/>
      <c r="I782" s="12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</row>
    <row r="783" ht="10.5" customHeight="1">
      <c r="A783" s="127"/>
      <c r="B783" s="118"/>
      <c r="C783" s="128"/>
      <c r="D783" s="128"/>
      <c r="E783" s="128"/>
      <c r="F783" s="128"/>
      <c r="G783" s="128"/>
      <c r="H783" s="128"/>
      <c r="I783" s="12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</row>
    <row r="784" ht="10.5" customHeight="1">
      <c r="A784" s="127"/>
      <c r="B784" s="118"/>
      <c r="C784" s="128"/>
      <c r="D784" s="128"/>
      <c r="E784" s="128"/>
      <c r="F784" s="128"/>
      <c r="G784" s="128"/>
      <c r="H784" s="128"/>
      <c r="I784" s="12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</row>
    <row r="785" ht="10.5" customHeight="1">
      <c r="A785" s="127"/>
      <c r="B785" s="118"/>
      <c r="C785" s="128"/>
      <c r="D785" s="128"/>
      <c r="E785" s="128"/>
      <c r="F785" s="128"/>
      <c r="G785" s="128"/>
      <c r="H785" s="128"/>
      <c r="I785" s="12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</row>
    <row r="786" ht="10.5" customHeight="1">
      <c r="A786" s="127"/>
      <c r="B786" s="118"/>
      <c r="C786" s="128"/>
      <c r="D786" s="128"/>
      <c r="E786" s="128"/>
      <c r="F786" s="128"/>
      <c r="G786" s="128"/>
      <c r="H786" s="128"/>
      <c r="I786" s="12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</row>
    <row r="787" ht="10.5" customHeight="1">
      <c r="A787" s="127"/>
      <c r="B787" s="118"/>
      <c r="C787" s="128"/>
      <c r="D787" s="128"/>
      <c r="E787" s="128"/>
      <c r="F787" s="128"/>
      <c r="G787" s="128"/>
      <c r="H787" s="128"/>
      <c r="I787" s="12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</row>
    <row r="788" ht="10.5" customHeight="1">
      <c r="A788" s="127"/>
      <c r="B788" s="118"/>
      <c r="C788" s="128"/>
      <c r="D788" s="128"/>
      <c r="E788" s="128"/>
      <c r="F788" s="128"/>
      <c r="G788" s="128"/>
      <c r="H788" s="128"/>
      <c r="I788" s="12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</row>
    <row r="789" ht="10.5" customHeight="1">
      <c r="A789" s="127"/>
      <c r="B789" s="118"/>
      <c r="C789" s="128"/>
      <c r="D789" s="128"/>
      <c r="E789" s="128"/>
      <c r="F789" s="128"/>
      <c r="G789" s="128"/>
      <c r="H789" s="128"/>
      <c r="I789" s="12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</row>
    <row r="790" ht="10.5" customHeight="1">
      <c r="A790" s="127"/>
      <c r="B790" s="118"/>
      <c r="C790" s="128"/>
      <c r="D790" s="128"/>
      <c r="E790" s="128"/>
      <c r="F790" s="128"/>
      <c r="G790" s="128"/>
      <c r="H790" s="128"/>
      <c r="I790" s="12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</row>
    <row r="791" ht="10.5" customHeight="1">
      <c r="A791" s="127"/>
      <c r="B791" s="118"/>
      <c r="C791" s="128"/>
      <c r="D791" s="128"/>
      <c r="E791" s="128"/>
      <c r="F791" s="128"/>
      <c r="G791" s="128"/>
      <c r="H791" s="128"/>
      <c r="I791" s="12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</row>
    <row r="792" ht="10.5" customHeight="1">
      <c r="A792" s="127"/>
      <c r="B792" s="118"/>
      <c r="C792" s="128"/>
      <c r="D792" s="128"/>
      <c r="E792" s="128"/>
      <c r="F792" s="128"/>
      <c r="G792" s="128"/>
      <c r="H792" s="128"/>
      <c r="I792" s="12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</row>
    <row r="793" ht="10.5" customHeight="1">
      <c r="A793" s="127"/>
      <c r="B793" s="118"/>
      <c r="C793" s="128"/>
      <c r="D793" s="128"/>
      <c r="E793" s="128"/>
      <c r="F793" s="128"/>
      <c r="G793" s="128"/>
      <c r="H793" s="128"/>
      <c r="I793" s="12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</row>
    <row r="794" ht="10.5" customHeight="1">
      <c r="A794" s="127"/>
      <c r="B794" s="118"/>
      <c r="C794" s="128"/>
      <c r="D794" s="128"/>
      <c r="E794" s="128"/>
      <c r="F794" s="128"/>
      <c r="G794" s="128"/>
      <c r="H794" s="128"/>
      <c r="I794" s="12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</row>
    <row r="795" ht="10.5" customHeight="1">
      <c r="A795" s="127"/>
      <c r="B795" s="118"/>
      <c r="C795" s="128"/>
      <c r="D795" s="128"/>
      <c r="E795" s="128"/>
      <c r="F795" s="128"/>
      <c r="G795" s="128"/>
      <c r="H795" s="128"/>
      <c r="I795" s="12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</row>
    <row r="796" ht="10.5" customHeight="1">
      <c r="A796" s="127"/>
      <c r="B796" s="118"/>
      <c r="C796" s="128"/>
      <c r="D796" s="128"/>
      <c r="E796" s="128"/>
      <c r="F796" s="128"/>
      <c r="G796" s="128"/>
      <c r="H796" s="128"/>
      <c r="I796" s="12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</row>
    <row r="797" ht="10.5" customHeight="1">
      <c r="A797" s="127"/>
      <c r="B797" s="118"/>
      <c r="C797" s="128"/>
      <c r="D797" s="128"/>
      <c r="E797" s="128"/>
      <c r="F797" s="128"/>
      <c r="G797" s="128"/>
      <c r="H797" s="128"/>
      <c r="I797" s="12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</row>
    <row r="798" ht="10.5" customHeight="1">
      <c r="A798" s="127"/>
      <c r="B798" s="118"/>
      <c r="C798" s="128"/>
      <c r="D798" s="128"/>
      <c r="E798" s="128"/>
      <c r="F798" s="128"/>
      <c r="G798" s="128"/>
      <c r="H798" s="128"/>
      <c r="I798" s="12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</row>
    <row r="799" ht="10.5" customHeight="1">
      <c r="A799" s="127"/>
      <c r="B799" s="118"/>
      <c r="C799" s="128"/>
      <c r="D799" s="128"/>
      <c r="E799" s="128"/>
      <c r="F799" s="128"/>
      <c r="G799" s="128"/>
      <c r="H799" s="128"/>
      <c r="I799" s="12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</row>
    <row r="800" ht="10.5" customHeight="1">
      <c r="A800" s="127"/>
      <c r="B800" s="118"/>
      <c r="C800" s="128"/>
      <c r="D800" s="128"/>
      <c r="E800" s="128"/>
      <c r="F800" s="128"/>
      <c r="G800" s="128"/>
      <c r="H800" s="128"/>
      <c r="I800" s="12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</row>
    <row r="801" ht="10.5" customHeight="1">
      <c r="A801" s="127"/>
      <c r="B801" s="118"/>
      <c r="C801" s="128"/>
      <c r="D801" s="128"/>
      <c r="E801" s="128"/>
      <c r="F801" s="128"/>
      <c r="G801" s="128"/>
      <c r="H801" s="128"/>
      <c r="I801" s="12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</row>
    <row r="802" ht="10.5" customHeight="1">
      <c r="A802" s="127"/>
      <c r="B802" s="118"/>
      <c r="C802" s="128"/>
      <c r="D802" s="128"/>
      <c r="E802" s="128"/>
      <c r="F802" s="128"/>
      <c r="G802" s="128"/>
      <c r="H802" s="128"/>
      <c r="I802" s="12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</row>
    <row r="803" ht="10.5" customHeight="1">
      <c r="A803" s="127"/>
      <c r="B803" s="118"/>
      <c r="C803" s="128"/>
      <c r="D803" s="128"/>
      <c r="E803" s="128"/>
      <c r="F803" s="128"/>
      <c r="G803" s="128"/>
      <c r="H803" s="128"/>
      <c r="I803" s="12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</row>
    <row r="804" ht="10.5" customHeight="1">
      <c r="A804" s="127"/>
      <c r="B804" s="118"/>
      <c r="C804" s="128"/>
      <c r="D804" s="128"/>
      <c r="E804" s="128"/>
      <c r="F804" s="128"/>
      <c r="G804" s="128"/>
      <c r="H804" s="128"/>
      <c r="I804" s="12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</row>
    <row r="805" ht="10.5" customHeight="1">
      <c r="A805" s="127"/>
      <c r="B805" s="118"/>
      <c r="C805" s="128"/>
      <c r="D805" s="128"/>
      <c r="E805" s="128"/>
      <c r="F805" s="128"/>
      <c r="G805" s="128"/>
      <c r="H805" s="128"/>
      <c r="I805" s="12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</row>
    <row r="806" ht="10.5" customHeight="1">
      <c r="A806" s="127"/>
      <c r="B806" s="118"/>
      <c r="C806" s="128"/>
      <c r="D806" s="128"/>
      <c r="E806" s="128"/>
      <c r="F806" s="128"/>
      <c r="G806" s="128"/>
      <c r="H806" s="128"/>
      <c r="I806" s="12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</row>
    <row r="807" ht="10.5" customHeight="1">
      <c r="A807" s="127"/>
      <c r="B807" s="118"/>
      <c r="C807" s="128"/>
      <c r="D807" s="128"/>
      <c r="E807" s="128"/>
      <c r="F807" s="128"/>
      <c r="G807" s="128"/>
      <c r="H807" s="128"/>
      <c r="I807" s="12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</row>
    <row r="808" ht="10.5" customHeight="1">
      <c r="A808" s="127"/>
      <c r="B808" s="118"/>
      <c r="C808" s="128"/>
      <c r="D808" s="128"/>
      <c r="E808" s="128"/>
      <c r="F808" s="128"/>
      <c r="G808" s="128"/>
      <c r="H808" s="128"/>
      <c r="I808" s="12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</row>
    <row r="809" ht="10.5" customHeight="1">
      <c r="A809" s="127"/>
      <c r="B809" s="118"/>
      <c r="C809" s="128"/>
      <c r="D809" s="128"/>
      <c r="E809" s="128"/>
      <c r="F809" s="128"/>
      <c r="G809" s="128"/>
      <c r="H809" s="128"/>
      <c r="I809" s="12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</row>
    <row r="810" ht="10.5" customHeight="1">
      <c r="A810" s="127"/>
      <c r="B810" s="118"/>
      <c r="C810" s="128"/>
      <c r="D810" s="128"/>
      <c r="E810" s="128"/>
      <c r="F810" s="128"/>
      <c r="G810" s="128"/>
      <c r="H810" s="128"/>
      <c r="I810" s="12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</row>
    <row r="811" ht="10.5" customHeight="1">
      <c r="A811" s="127"/>
      <c r="B811" s="118"/>
      <c r="C811" s="128"/>
      <c r="D811" s="128"/>
      <c r="E811" s="128"/>
      <c r="F811" s="128"/>
      <c r="G811" s="128"/>
      <c r="H811" s="128"/>
      <c r="I811" s="12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</row>
    <row r="812" ht="10.5" customHeight="1">
      <c r="A812" s="127"/>
      <c r="B812" s="118"/>
      <c r="C812" s="128"/>
      <c r="D812" s="128"/>
      <c r="E812" s="128"/>
      <c r="F812" s="128"/>
      <c r="G812" s="128"/>
      <c r="H812" s="128"/>
      <c r="I812" s="12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</row>
    <row r="813" ht="10.5" customHeight="1">
      <c r="A813" s="127"/>
      <c r="B813" s="118"/>
      <c r="C813" s="128"/>
      <c r="D813" s="128"/>
      <c r="E813" s="128"/>
      <c r="F813" s="128"/>
      <c r="G813" s="128"/>
      <c r="H813" s="128"/>
      <c r="I813" s="12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</row>
    <row r="814" ht="10.5" customHeight="1">
      <c r="A814" s="127"/>
      <c r="B814" s="118"/>
      <c r="C814" s="128"/>
      <c r="D814" s="128"/>
      <c r="E814" s="128"/>
      <c r="F814" s="128"/>
      <c r="G814" s="128"/>
      <c r="H814" s="128"/>
      <c r="I814" s="12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</row>
    <row r="815" ht="10.5" customHeight="1">
      <c r="A815" s="127"/>
      <c r="B815" s="118"/>
      <c r="C815" s="128"/>
      <c r="D815" s="128"/>
      <c r="E815" s="128"/>
      <c r="F815" s="128"/>
      <c r="G815" s="128"/>
      <c r="H815" s="128"/>
      <c r="I815" s="12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</row>
    <row r="816" ht="10.5" customHeight="1">
      <c r="A816" s="127"/>
      <c r="B816" s="118"/>
      <c r="C816" s="128"/>
      <c r="D816" s="128"/>
      <c r="E816" s="128"/>
      <c r="F816" s="128"/>
      <c r="G816" s="128"/>
      <c r="H816" s="128"/>
      <c r="I816" s="12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</row>
    <row r="817" ht="10.5" customHeight="1">
      <c r="A817" s="127"/>
      <c r="B817" s="118"/>
      <c r="C817" s="128"/>
      <c r="D817" s="128"/>
      <c r="E817" s="128"/>
      <c r="F817" s="128"/>
      <c r="G817" s="128"/>
      <c r="H817" s="128"/>
      <c r="I817" s="12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</row>
    <row r="818" ht="10.5" customHeight="1">
      <c r="A818" s="127"/>
      <c r="B818" s="118"/>
      <c r="C818" s="128"/>
      <c r="D818" s="128"/>
      <c r="E818" s="128"/>
      <c r="F818" s="128"/>
      <c r="G818" s="128"/>
      <c r="H818" s="128"/>
      <c r="I818" s="12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</row>
    <row r="819" ht="10.5" customHeight="1">
      <c r="A819" s="127"/>
      <c r="B819" s="118"/>
      <c r="C819" s="128"/>
      <c r="D819" s="128"/>
      <c r="E819" s="128"/>
      <c r="F819" s="128"/>
      <c r="G819" s="128"/>
      <c r="H819" s="128"/>
      <c r="I819" s="12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</row>
    <row r="820" ht="10.5" customHeight="1">
      <c r="A820" s="127"/>
      <c r="B820" s="118"/>
      <c r="C820" s="128"/>
      <c r="D820" s="128"/>
      <c r="E820" s="128"/>
      <c r="F820" s="128"/>
      <c r="G820" s="128"/>
      <c r="H820" s="128"/>
      <c r="I820" s="12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</row>
    <row r="821" ht="10.5" customHeight="1">
      <c r="A821" s="127"/>
      <c r="B821" s="118"/>
      <c r="C821" s="128"/>
      <c r="D821" s="128"/>
      <c r="E821" s="128"/>
      <c r="F821" s="128"/>
      <c r="G821" s="128"/>
      <c r="H821" s="128"/>
      <c r="I821" s="12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</row>
    <row r="822" ht="10.5" customHeight="1">
      <c r="A822" s="127"/>
      <c r="B822" s="118"/>
      <c r="C822" s="128"/>
      <c r="D822" s="128"/>
      <c r="E822" s="128"/>
      <c r="F822" s="128"/>
      <c r="G822" s="128"/>
      <c r="H822" s="128"/>
      <c r="I822" s="12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</row>
    <row r="823" ht="10.5" customHeight="1">
      <c r="A823" s="127"/>
      <c r="B823" s="118"/>
      <c r="C823" s="128"/>
      <c r="D823" s="128"/>
      <c r="E823" s="128"/>
      <c r="F823" s="128"/>
      <c r="G823" s="128"/>
      <c r="H823" s="128"/>
      <c r="I823" s="12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</row>
    <row r="824" ht="10.5" customHeight="1">
      <c r="A824" s="127"/>
      <c r="B824" s="118"/>
      <c r="C824" s="128"/>
      <c r="D824" s="128"/>
      <c r="E824" s="128"/>
      <c r="F824" s="128"/>
      <c r="G824" s="128"/>
      <c r="H824" s="128"/>
      <c r="I824" s="12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</row>
    <row r="825" ht="10.5" customHeight="1">
      <c r="A825" s="127"/>
      <c r="B825" s="118"/>
      <c r="C825" s="128"/>
      <c r="D825" s="128"/>
      <c r="E825" s="128"/>
      <c r="F825" s="128"/>
      <c r="G825" s="128"/>
      <c r="H825" s="128"/>
      <c r="I825" s="12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</row>
    <row r="826" ht="10.5" customHeight="1">
      <c r="A826" s="127"/>
      <c r="B826" s="118"/>
      <c r="C826" s="128"/>
      <c r="D826" s="128"/>
      <c r="E826" s="128"/>
      <c r="F826" s="128"/>
      <c r="G826" s="128"/>
      <c r="H826" s="128"/>
      <c r="I826" s="12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</row>
    <row r="827" ht="10.5" customHeight="1">
      <c r="A827" s="127"/>
      <c r="B827" s="118"/>
      <c r="C827" s="128"/>
      <c r="D827" s="128"/>
      <c r="E827" s="128"/>
      <c r="F827" s="128"/>
      <c r="G827" s="128"/>
      <c r="H827" s="128"/>
      <c r="I827" s="12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</row>
    <row r="828" ht="10.5" customHeight="1">
      <c r="A828" s="127"/>
      <c r="B828" s="118"/>
      <c r="C828" s="128"/>
      <c r="D828" s="128"/>
      <c r="E828" s="128"/>
      <c r="F828" s="128"/>
      <c r="G828" s="128"/>
      <c r="H828" s="128"/>
      <c r="I828" s="12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</row>
    <row r="829" ht="10.5" customHeight="1">
      <c r="A829" s="127"/>
      <c r="B829" s="118"/>
      <c r="C829" s="128"/>
      <c r="D829" s="128"/>
      <c r="E829" s="128"/>
      <c r="F829" s="128"/>
      <c r="G829" s="128"/>
      <c r="H829" s="128"/>
      <c r="I829" s="12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</row>
    <row r="830" ht="10.5" customHeight="1">
      <c r="A830" s="127"/>
      <c r="B830" s="118"/>
      <c r="C830" s="128"/>
      <c r="D830" s="128"/>
      <c r="E830" s="128"/>
      <c r="F830" s="128"/>
      <c r="G830" s="128"/>
      <c r="H830" s="128"/>
      <c r="I830" s="12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</row>
    <row r="831" ht="10.5" customHeight="1">
      <c r="A831" s="127"/>
      <c r="B831" s="118"/>
      <c r="C831" s="128"/>
      <c r="D831" s="128"/>
      <c r="E831" s="128"/>
      <c r="F831" s="128"/>
      <c r="G831" s="128"/>
      <c r="H831" s="128"/>
      <c r="I831" s="12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</row>
    <row r="832" ht="10.5" customHeight="1">
      <c r="A832" s="127"/>
      <c r="B832" s="118"/>
      <c r="C832" s="128"/>
      <c r="D832" s="128"/>
      <c r="E832" s="128"/>
      <c r="F832" s="128"/>
      <c r="G832" s="128"/>
      <c r="H832" s="128"/>
      <c r="I832" s="12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</row>
    <row r="833" ht="10.5" customHeight="1">
      <c r="A833" s="127"/>
      <c r="B833" s="118"/>
      <c r="C833" s="128"/>
      <c r="D833" s="128"/>
      <c r="E833" s="128"/>
      <c r="F833" s="128"/>
      <c r="G833" s="128"/>
      <c r="H833" s="128"/>
      <c r="I833" s="12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</row>
    <row r="834" ht="10.5" customHeight="1">
      <c r="A834" s="127"/>
      <c r="B834" s="118"/>
      <c r="C834" s="128"/>
      <c r="D834" s="128"/>
      <c r="E834" s="128"/>
      <c r="F834" s="128"/>
      <c r="G834" s="128"/>
      <c r="H834" s="128"/>
      <c r="I834" s="12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</row>
    <row r="835" ht="10.5" customHeight="1">
      <c r="A835" s="127"/>
      <c r="B835" s="118"/>
      <c r="C835" s="128"/>
      <c r="D835" s="128"/>
      <c r="E835" s="128"/>
      <c r="F835" s="128"/>
      <c r="G835" s="128"/>
      <c r="H835" s="128"/>
      <c r="I835" s="12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</row>
    <row r="836" ht="10.5" customHeight="1">
      <c r="A836" s="127"/>
      <c r="B836" s="118"/>
      <c r="C836" s="128"/>
      <c r="D836" s="128"/>
      <c r="E836" s="128"/>
      <c r="F836" s="128"/>
      <c r="G836" s="128"/>
      <c r="H836" s="128"/>
      <c r="I836" s="12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</row>
    <row r="837" ht="10.5" customHeight="1">
      <c r="A837" s="127"/>
      <c r="B837" s="118"/>
      <c r="C837" s="128"/>
      <c r="D837" s="128"/>
      <c r="E837" s="128"/>
      <c r="F837" s="128"/>
      <c r="G837" s="128"/>
      <c r="H837" s="128"/>
      <c r="I837" s="12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</row>
    <row r="838" ht="10.5" customHeight="1">
      <c r="A838" s="127"/>
      <c r="B838" s="118"/>
      <c r="C838" s="128"/>
      <c r="D838" s="128"/>
      <c r="E838" s="128"/>
      <c r="F838" s="128"/>
      <c r="G838" s="128"/>
      <c r="H838" s="128"/>
      <c r="I838" s="12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</row>
    <row r="839" ht="10.5" customHeight="1">
      <c r="A839" s="127"/>
      <c r="B839" s="118"/>
      <c r="C839" s="128"/>
      <c r="D839" s="128"/>
      <c r="E839" s="128"/>
      <c r="F839" s="128"/>
      <c r="G839" s="128"/>
      <c r="H839" s="128"/>
      <c r="I839" s="12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</row>
    <row r="840" ht="10.5" customHeight="1">
      <c r="A840" s="127"/>
      <c r="B840" s="118"/>
      <c r="C840" s="128"/>
      <c r="D840" s="128"/>
      <c r="E840" s="128"/>
      <c r="F840" s="128"/>
      <c r="G840" s="128"/>
      <c r="H840" s="128"/>
      <c r="I840" s="12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</row>
    <row r="841" ht="10.5" customHeight="1">
      <c r="A841" s="127"/>
      <c r="B841" s="118"/>
      <c r="C841" s="128"/>
      <c r="D841" s="128"/>
      <c r="E841" s="128"/>
      <c r="F841" s="128"/>
      <c r="G841" s="128"/>
      <c r="H841" s="128"/>
      <c r="I841" s="12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</row>
    <row r="842" ht="10.5" customHeight="1">
      <c r="A842" s="127"/>
      <c r="B842" s="118"/>
      <c r="C842" s="128"/>
      <c r="D842" s="128"/>
      <c r="E842" s="128"/>
      <c r="F842" s="128"/>
      <c r="G842" s="128"/>
      <c r="H842" s="128"/>
      <c r="I842" s="12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</row>
    <row r="843" ht="10.5" customHeight="1">
      <c r="A843" s="127"/>
      <c r="B843" s="118"/>
      <c r="C843" s="128"/>
      <c r="D843" s="128"/>
      <c r="E843" s="128"/>
      <c r="F843" s="128"/>
      <c r="G843" s="128"/>
      <c r="H843" s="128"/>
      <c r="I843" s="12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</row>
    <row r="844" ht="10.5" customHeight="1">
      <c r="A844" s="127"/>
      <c r="B844" s="118"/>
      <c r="C844" s="128"/>
      <c r="D844" s="128"/>
      <c r="E844" s="128"/>
      <c r="F844" s="128"/>
      <c r="G844" s="128"/>
      <c r="H844" s="128"/>
      <c r="I844" s="12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</row>
    <row r="845" ht="10.5" customHeight="1">
      <c r="A845" s="127"/>
      <c r="B845" s="118"/>
      <c r="C845" s="128"/>
      <c r="D845" s="128"/>
      <c r="E845" s="128"/>
      <c r="F845" s="128"/>
      <c r="G845" s="128"/>
      <c r="H845" s="128"/>
      <c r="I845" s="12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</row>
    <row r="846" ht="10.5" customHeight="1">
      <c r="A846" s="127"/>
      <c r="B846" s="118"/>
      <c r="C846" s="128"/>
      <c r="D846" s="128"/>
      <c r="E846" s="128"/>
      <c r="F846" s="128"/>
      <c r="G846" s="128"/>
      <c r="H846" s="128"/>
      <c r="I846" s="12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</row>
    <row r="847" ht="10.5" customHeight="1">
      <c r="A847" s="127"/>
      <c r="B847" s="118"/>
      <c r="C847" s="128"/>
      <c r="D847" s="128"/>
      <c r="E847" s="128"/>
      <c r="F847" s="128"/>
      <c r="G847" s="128"/>
      <c r="H847" s="128"/>
      <c r="I847" s="12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</row>
    <row r="848" ht="10.5" customHeight="1">
      <c r="A848" s="127"/>
      <c r="B848" s="118"/>
      <c r="C848" s="128"/>
      <c r="D848" s="128"/>
      <c r="E848" s="128"/>
      <c r="F848" s="128"/>
      <c r="G848" s="128"/>
      <c r="H848" s="128"/>
      <c r="I848" s="12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</row>
    <row r="849" ht="10.5" customHeight="1">
      <c r="A849" s="127"/>
      <c r="B849" s="118"/>
      <c r="C849" s="128"/>
      <c r="D849" s="128"/>
      <c r="E849" s="128"/>
      <c r="F849" s="128"/>
      <c r="G849" s="128"/>
      <c r="H849" s="128"/>
      <c r="I849" s="12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</row>
    <row r="850" ht="10.5" customHeight="1">
      <c r="A850" s="127"/>
      <c r="B850" s="118"/>
      <c r="C850" s="128"/>
      <c r="D850" s="128"/>
      <c r="E850" s="128"/>
      <c r="F850" s="128"/>
      <c r="G850" s="128"/>
      <c r="H850" s="128"/>
      <c r="I850" s="12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</row>
    <row r="851" ht="10.5" customHeight="1">
      <c r="A851" s="127"/>
      <c r="B851" s="118"/>
      <c r="C851" s="128"/>
      <c r="D851" s="128"/>
      <c r="E851" s="128"/>
      <c r="F851" s="128"/>
      <c r="G851" s="128"/>
      <c r="H851" s="128"/>
      <c r="I851" s="12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</row>
    <row r="852" ht="10.5" customHeight="1">
      <c r="A852" s="127"/>
      <c r="B852" s="118"/>
      <c r="C852" s="128"/>
      <c r="D852" s="128"/>
      <c r="E852" s="128"/>
      <c r="F852" s="128"/>
      <c r="G852" s="128"/>
      <c r="H852" s="128"/>
      <c r="I852" s="12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</row>
    <row r="853" ht="10.5" customHeight="1">
      <c r="A853" s="127"/>
      <c r="B853" s="118"/>
      <c r="C853" s="128"/>
      <c r="D853" s="128"/>
      <c r="E853" s="128"/>
      <c r="F853" s="128"/>
      <c r="G853" s="128"/>
      <c r="H853" s="128"/>
      <c r="I853" s="12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</row>
    <row r="854" ht="10.5" customHeight="1">
      <c r="A854" s="127"/>
      <c r="B854" s="118"/>
      <c r="C854" s="128"/>
      <c r="D854" s="128"/>
      <c r="E854" s="128"/>
      <c r="F854" s="128"/>
      <c r="G854" s="128"/>
      <c r="H854" s="128"/>
      <c r="I854" s="12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</row>
    <row r="855" ht="10.5" customHeight="1">
      <c r="A855" s="127"/>
      <c r="B855" s="118"/>
      <c r="C855" s="128"/>
      <c r="D855" s="128"/>
      <c r="E855" s="128"/>
      <c r="F855" s="128"/>
      <c r="G855" s="128"/>
      <c r="H855" s="128"/>
      <c r="I855" s="12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</row>
    <row r="856" ht="10.5" customHeight="1">
      <c r="A856" s="127"/>
      <c r="B856" s="118"/>
      <c r="C856" s="128"/>
      <c r="D856" s="128"/>
      <c r="E856" s="128"/>
      <c r="F856" s="128"/>
      <c r="G856" s="128"/>
      <c r="H856" s="128"/>
      <c r="I856" s="12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</row>
    <row r="857" ht="10.5" customHeight="1">
      <c r="A857" s="127"/>
      <c r="B857" s="118"/>
      <c r="C857" s="128"/>
      <c r="D857" s="128"/>
      <c r="E857" s="128"/>
      <c r="F857" s="128"/>
      <c r="G857" s="128"/>
      <c r="H857" s="128"/>
      <c r="I857" s="12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</row>
    <row r="858" ht="10.5" customHeight="1">
      <c r="A858" s="127"/>
      <c r="B858" s="118"/>
      <c r="C858" s="128"/>
      <c r="D858" s="128"/>
      <c r="E858" s="128"/>
      <c r="F858" s="128"/>
      <c r="G858" s="128"/>
      <c r="H858" s="128"/>
      <c r="I858" s="12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</row>
    <row r="859" ht="10.5" customHeight="1">
      <c r="A859" s="127"/>
      <c r="B859" s="118"/>
      <c r="C859" s="128"/>
      <c r="D859" s="128"/>
      <c r="E859" s="128"/>
      <c r="F859" s="128"/>
      <c r="G859" s="128"/>
      <c r="H859" s="128"/>
      <c r="I859" s="12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</row>
    <row r="860" ht="10.5" customHeight="1">
      <c r="A860" s="127"/>
      <c r="B860" s="118"/>
      <c r="C860" s="128"/>
      <c r="D860" s="128"/>
      <c r="E860" s="128"/>
      <c r="F860" s="128"/>
      <c r="G860" s="128"/>
      <c r="H860" s="128"/>
      <c r="I860" s="12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</row>
    <row r="861" ht="10.5" customHeight="1">
      <c r="A861" s="127"/>
      <c r="B861" s="118"/>
      <c r="C861" s="128"/>
      <c r="D861" s="128"/>
      <c r="E861" s="128"/>
      <c r="F861" s="128"/>
      <c r="G861" s="128"/>
      <c r="H861" s="128"/>
      <c r="I861" s="12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</row>
    <row r="862" ht="10.5" customHeight="1">
      <c r="A862" s="127"/>
      <c r="B862" s="118"/>
      <c r="C862" s="128"/>
      <c r="D862" s="128"/>
      <c r="E862" s="128"/>
      <c r="F862" s="128"/>
      <c r="G862" s="128"/>
      <c r="H862" s="128"/>
      <c r="I862" s="12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</row>
    <row r="863" ht="10.5" customHeight="1">
      <c r="A863" s="127"/>
      <c r="B863" s="118"/>
      <c r="C863" s="128"/>
      <c r="D863" s="128"/>
      <c r="E863" s="128"/>
      <c r="F863" s="128"/>
      <c r="G863" s="128"/>
      <c r="H863" s="128"/>
      <c r="I863" s="12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</row>
    <row r="864" ht="10.5" customHeight="1">
      <c r="A864" s="127"/>
      <c r="B864" s="118"/>
      <c r="C864" s="128"/>
      <c r="D864" s="128"/>
      <c r="E864" s="128"/>
      <c r="F864" s="128"/>
      <c r="G864" s="128"/>
      <c r="H864" s="128"/>
      <c r="I864" s="12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</row>
    <row r="865" ht="10.5" customHeight="1">
      <c r="A865" s="127"/>
      <c r="B865" s="118"/>
      <c r="C865" s="128"/>
      <c r="D865" s="128"/>
      <c r="E865" s="128"/>
      <c r="F865" s="128"/>
      <c r="G865" s="128"/>
      <c r="H865" s="128"/>
      <c r="I865" s="12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</row>
    <row r="866" ht="10.5" customHeight="1">
      <c r="A866" s="127"/>
      <c r="B866" s="118"/>
      <c r="C866" s="128"/>
      <c r="D866" s="128"/>
      <c r="E866" s="128"/>
      <c r="F866" s="128"/>
      <c r="G866" s="128"/>
      <c r="H866" s="128"/>
      <c r="I866" s="12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</row>
    <row r="867" ht="10.5" customHeight="1">
      <c r="A867" s="127"/>
      <c r="B867" s="118"/>
      <c r="C867" s="128"/>
      <c r="D867" s="128"/>
      <c r="E867" s="128"/>
      <c r="F867" s="128"/>
      <c r="G867" s="128"/>
      <c r="H867" s="128"/>
      <c r="I867" s="12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</row>
    <row r="868" ht="10.5" customHeight="1">
      <c r="A868" s="127"/>
      <c r="B868" s="118"/>
      <c r="C868" s="128"/>
      <c r="D868" s="128"/>
      <c r="E868" s="128"/>
      <c r="F868" s="128"/>
      <c r="G868" s="128"/>
      <c r="H868" s="128"/>
      <c r="I868" s="12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</row>
    <row r="869" ht="10.5" customHeight="1">
      <c r="A869" s="127"/>
      <c r="B869" s="118"/>
      <c r="C869" s="128"/>
      <c r="D869" s="128"/>
      <c r="E869" s="128"/>
      <c r="F869" s="128"/>
      <c r="G869" s="128"/>
      <c r="H869" s="128"/>
      <c r="I869" s="12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</row>
    <row r="870" ht="10.5" customHeight="1">
      <c r="A870" s="127"/>
      <c r="B870" s="118"/>
      <c r="C870" s="128"/>
      <c r="D870" s="128"/>
      <c r="E870" s="128"/>
      <c r="F870" s="128"/>
      <c r="G870" s="128"/>
      <c r="H870" s="128"/>
      <c r="I870" s="12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</row>
    <row r="871" ht="10.5" customHeight="1">
      <c r="A871" s="127"/>
      <c r="B871" s="118"/>
      <c r="C871" s="128"/>
      <c r="D871" s="128"/>
      <c r="E871" s="128"/>
      <c r="F871" s="128"/>
      <c r="G871" s="128"/>
      <c r="H871" s="128"/>
      <c r="I871" s="12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</row>
    <row r="872" ht="10.5" customHeight="1">
      <c r="A872" s="127"/>
      <c r="B872" s="118"/>
      <c r="C872" s="128"/>
      <c r="D872" s="128"/>
      <c r="E872" s="128"/>
      <c r="F872" s="128"/>
      <c r="G872" s="128"/>
      <c r="H872" s="128"/>
      <c r="I872" s="12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</row>
    <row r="873" ht="10.5" customHeight="1">
      <c r="A873" s="127"/>
      <c r="B873" s="118"/>
      <c r="C873" s="128"/>
      <c r="D873" s="128"/>
      <c r="E873" s="128"/>
      <c r="F873" s="128"/>
      <c r="G873" s="128"/>
      <c r="H873" s="128"/>
      <c r="I873" s="12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</row>
    <row r="874" ht="10.5" customHeight="1">
      <c r="A874" s="127"/>
      <c r="B874" s="118"/>
      <c r="C874" s="128"/>
      <c r="D874" s="128"/>
      <c r="E874" s="128"/>
      <c r="F874" s="128"/>
      <c r="G874" s="128"/>
      <c r="H874" s="128"/>
      <c r="I874" s="12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</row>
    <row r="875" ht="10.5" customHeight="1">
      <c r="A875" s="127"/>
      <c r="B875" s="118"/>
      <c r="C875" s="128"/>
      <c r="D875" s="128"/>
      <c r="E875" s="128"/>
      <c r="F875" s="128"/>
      <c r="G875" s="128"/>
      <c r="H875" s="128"/>
      <c r="I875" s="12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</row>
    <row r="876" ht="10.5" customHeight="1">
      <c r="A876" s="127"/>
      <c r="B876" s="118"/>
      <c r="C876" s="128"/>
      <c r="D876" s="128"/>
      <c r="E876" s="128"/>
      <c r="F876" s="128"/>
      <c r="G876" s="128"/>
      <c r="H876" s="128"/>
      <c r="I876" s="12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</row>
    <row r="877" ht="10.5" customHeight="1">
      <c r="A877" s="127"/>
      <c r="B877" s="118"/>
      <c r="C877" s="128"/>
      <c r="D877" s="128"/>
      <c r="E877" s="128"/>
      <c r="F877" s="128"/>
      <c r="G877" s="128"/>
      <c r="H877" s="128"/>
      <c r="I877" s="12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</row>
    <row r="878" ht="10.5" customHeight="1">
      <c r="A878" s="127"/>
      <c r="B878" s="118"/>
      <c r="C878" s="128"/>
      <c r="D878" s="128"/>
      <c r="E878" s="128"/>
      <c r="F878" s="128"/>
      <c r="G878" s="128"/>
      <c r="H878" s="128"/>
      <c r="I878" s="12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</row>
    <row r="879" ht="10.5" customHeight="1">
      <c r="A879" s="127"/>
      <c r="B879" s="118"/>
      <c r="C879" s="128"/>
      <c r="D879" s="128"/>
      <c r="E879" s="128"/>
      <c r="F879" s="128"/>
      <c r="G879" s="128"/>
      <c r="H879" s="128"/>
      <c r="I879" s="12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</row>
    <row r="880" ht="10.5" customHeight="1">
      <c r="A880" s="127"/>
      <c r="B880" s="118"/>
      <c r="C880" s="128"/>
      <c r="D880" s="128"/>
      <c r="E880" s="128"/>
      <c r="F880" s="128"/>
      <c r="G880" s="128"/>
      <c r="H880" s="128"/>
      <c r="I880" s="12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</row>
    <row r="881" ht="10.5" customHeight="1">
      <c r="A881" s="127"/>
      <c r="B881" s="118"/>
      <c r="C881" s="128"/>
      <c r="D881" s="128"/>
      <c r="E881" s="128"/>
      <c r="F881" s="128"/>
      <c r="G881" s="128"/>
      <c r="H881" s="128"/>
      <c r="I881" s="12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</row>
    <row r="882" ht="10.5" customHeight="1">
      <c r="A882" s="127"/>
      <c r="B882" s="118"/>
      <c r="C882" s="128"/>
      <c r="D882" s="128"/>
      <c r="E882" s="128"/>
      <c r="F882" s="128"/>
      <c r="G882" s="128"/>
      <c r="H882" s="128"/>
      <c r="I882" s="12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</row>
    <row r="883" ht="10.5" customHeight="1">
      <c r="A883" s="127"/>
      <c r="B883" s="118"/>
      <c r="C883" s="128"/>
      <c r="D883" s="128"/>
      <c r="E883" s="128"/>
      <c r="F883" s="128"/>
      <c r="G883" s="128"/>
      <c r="H883" s="128"/>
      <c r="I883" s="12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</row>
    <row r="884" ht="10.5" customHeight="1">
      <c r="A884" s="127"/>
      <c r="B884" s="118"/>
      <c r="C884" s="128"/>
      <c r="D884" s="128"/>
      <c r="E884" s="128"/>
      <c r="F884" s="128"/>
      <c r="G884" s="128"/>
      <c r="H884" s="128"/>
      <c r="I884" s="12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</row>
    <row r="885" ht="10.5" customHeight="1">
      <c r="A885" s="127"/>
      <c r="B885" s="118"/>
      <c r="C885" s="128"/>
      <c r="D885" s="128"/>
      <c r="E885" s="128"/>
      <c r="F885" s="128"/>
      <c r="G885" s="128"/>
      <c r="H885" s="128"/>
      <c r="I885" s="12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</row>
    <row r="886" ht="10.5" customHeight="1">
      <c r="A886" s="127"/>
      <c r="B886" s="118"/>
      <c r="C886" s="128"/>
      <c r="D886" s="128"/>
      <c r="E886" s="128"/>
      <c r="F886" s="128"/>
      <c r="G886" s="128"/>
      <c r="H886" s="128"/>
      <c r="I886" s="12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</row>
    <row r="887" ht="10.5" customHeight="1">
      <c r="A887" s="127"/>
      <c r="B887" s="118"/>
      <c r="C887" s="128"/>
      <c r="D887" s="128"/>
      <c r="E887" s="128"/>
      <c r="F887" s="128"/>
      <c r="G887" s="128"/>
      <c r="H887" s="128"/>
      <c r="I887" s="12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</row>
    <row r="888" ht="10.5" customHeight="1">
      <c r="A888" s="127"/>
      <c r="B888" s="118"/>
      <c r="C888" s="128"/>
      <c r="D888" s="128"/>
      <c r="E888" s="128"/>
      <c r="F888" s="128"/>
      <c r="G888" s="128"/>
      <c r="H888" s="128"/>
      <c r="I888" s="12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</row>
    <row r="889" ht="10.5" customHeight="1">
      <c r="A889" s="127"/>
      <c r="B889" s="118"/>
      <c r="C889" s="128"/>
      <c r="D889" s="128"/>
      <c r="E889" s="128"/>
      <c r="F889" s="128"/>
      <c r="G889" s="128"/>
      <c r="H889" s="128"/>
      <c r="I889" s="12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</row>
    <row r="890" ht="10.5" customHeight="1">
      <c r="A890" s="127"/>
      <c r="B890" s="118"/>
      <c r="C890" s="128"/>
      <c r="D890" s="128"/>
      <c r="E890" s="128"/>
      <c r="F890" s="128"/>
      <c r="G890" s="128"/>
      <c r="H890" s="128"/>
      <c r="I890" s="12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</row>
    <row r="891" ht="10.5" customHeight="1">
      <c r="A891" s="127"/>
      <c r="B891" s="118"/>
      <c r="C891" s="128"/>
      <c r="D891" s="128"/>
      <c r="E891" s="128"/>
      <c r="F891" s="128"/>
      <c r="G891" s="128"/>
      <c r="H891" s="128"/>
      <c r="I891" s="12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</row>
    <row r="892" ht="10.5" customHeight="1">
      <c r="A892" s="127"/>
      <c r="B892" s="118"/>
      <c r="C892" s="128"/>
      <c r="D892" s="128"/>
      <c r="E892" s="128"/>
      <c r="F892" s="128"/>
      <c r="G892" s="128"/>
      <c r="H892" s="128"/>
      <c r="I892" s="12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</row>
    <row r="893" ht="10.5" customHeight="1">
      <c r="A893" s="127"/>
      <c r="B893" s="118"/>
      <c r="C893" s="128"/>
      <c r="D893" s="128"/>
      <c r="E893" s="128"/>
      <c r="F893" s="128"/>
      <c r="G893" s="128"/>
      <c r="H893" s="128"/>
      <c r="I893" s="12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</row>
    <row r="894" ht="10.5" customHeight="1">
      <c r="A894" s="127"/>
      <c r="B894" s="118"/>
      <c r="C894" s="128"/>
      <c r="D894" s="128"/>
      <c r="E894" s="128"/>
      <c r="F894" s="128"/>
      <c r="G894" s="128"/>
      <c r="H894" s="128"/>
      <c r="I894" s="12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</row>
    <row r="895" ht="10.5" customHeight="1">
      <c r="A895" s="127"/>
      <c r="B895" s="118"/>
      <c r="C895" s="128"/>
      <c r="D895" s="128"/>
      <c r="E895" s="128"/>
      <c r="F895" s="128"/>
      <c r="G895" s="128"/>
      <c r="H895" s="128"/>
      <c r="I895" s="12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</row>
    <row r="896" ht="10.5" customHeight="1">
      <c r="A896" s="127"/>
      <c r="B896" s="118"/>
      <c r="C896" s="128"/>
      <c r="D896" s="128"/>
      <c r="E896" s="128"/>
      <c r="F896" s="128"/>
      <c r="G896" s="128"/>
      <c r="H896" s="128"/>
      <c r="I896" s="12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</row>
    <row r="897" ht="10.5" customHeight="1">
      <c r="A897" s="127"/>
      <c r="B897" s="118"/>
      <c r="C897" s="128"/>
      <c r="D897" s="128"/>
      <c r="E897" s="128"/>
      <c r="F897" s="128"/>
      <c r="G897" s="128"/>
      <c r="H897" s="128"/>
      <c r="I897" s="12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</row>
    <row r="898" ht="10.5" customHeight="1">
      <c r="A898" s="127"/>
      <c r="B898" s="118"/>
      <c r="C898" s="128"/>
      <c r="D898" s="128"/>
      <c r="E898" s="128"/>
      <c r="F898" s="128"/>
      <c r="G898" s="128"/>
      <c r="H898" s="128"/>
      <c r="I898" s="12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</row>
    <row r="899" ht="10.5" customHeight="1">
      <c r="A899" s="127"/>
      <c r="B899" s="118"/>
      <c r="C899" s="128"/>
      <c r="D899" s="128"/>
      <c r="E899" s="128"/>
      <c r="F899" s="128"/>
      <c r="G899" s="128"/>
      <c r="H899" s="128"/>
      <c r="I899" s="12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</row>
    <row r="900" ht="10.5" customHeight="1">
      <c r="A900" s="127"/>
      <c r="B900" s="118"/>
      <c r="C900" s="128"/>
      <c r="D900" s="128"/>
      <c r="E900" s="128"/>
      <c r="F900" s="128"/>
      <c r="G900" s="128"/>
      <c r="H900" s="128"/>
      <c r="I900" s="12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</row>
    <row r="901" ht="10.5" customHeight="1">
      <c r="A901" s="127"/>
      <c r="B901" s="118"/>
      <c r="C901" s="128"/>
      <c r="D901" s="128"/>
      <c r="E901" s="128"/>
      <c r="F901" s="128"/>
      <c r="G901" s="128"/>
      <c r="H901" s="128"/>
      <c r="I901" s="12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</row>
    <row r="902" ht="10.5" customHeight="1">
      <c r="A902" s="127"/>
      <c r="B902" s="118"/>
      <c r="C902" s="128"/>
      <c r="D902" s="128"/>
      <c r="E902" s="128"/>
      <c r="F902" s="128"/>
      <c r="G902" s="128"/>
      <c r="H902" s="128"/>
      <c r="I902" s="12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</row>
    <row r="903" ht="10.5" customHeight="1">
      <c r="A903" s="127"/>
      <c r="B903" s="118"/>
      <c r="C903" s="128"/>
      <c r="D903" s="128"/>
      <c r="E903" s="128"/>
      <c r="F903" s="128"/>
      <c r="G903" s="128"/>
      <c r="H903" s="128"/>
      <c r="I903" s="12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</row>
    <row r="904" ht="10.5" customHeight="1">
      <c r="A904" s="127"/>
      <c r="B904" s="118"/>
      <c r="C904" s="128"/>
      <c r="D904" s="128"/>
      <c r="E904" s="128"/>
      <c r="F904" s="128"/>
      <c r="G904" s="128"/>
      <c r="H904" s="128"/>
      <c r="I904" s="12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</row>
    <row r="905" ht="10.5" customHeight="1">
      <c r="A905" s="127"/>
      <c r="B905" s="118"/>
      <c r="C905" s="128"/>
      <c r="D905" s="128"/>
      <c r="E905" s="128"/>
      <c r="F905" s="128"/>
      <c r="G905" s="128"/>
      <c r="H905" s="128"/>
      <c r="I905" s="12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</row>
    <row r="906" ht="10.5" customHeight="1">
      <c r="A906" s="127"/>
      <c r="B906" s="118"/>
      <c r="C906" s="128"/>
      <c r="D906" s="128"/>
      <c r="E906" s="128"/>
      <c r="F906" s="128"/>
      <c r="G906" s="128"/>
      <c r="H906" s="128"/>
      <c r="I906" s="12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</row>
    <row r="907" ht="10.5" customHeight="1">
      <c r="A907" s="127"/>
      <c r="B907" s="118"/>
      <c r="C907" s="128"/>
      <c r="D907" s="128"/>
      <c r="E907" s="128"/>
      <c r="F907" s="128"/>
      <c r="G907" s="128"/>
      <c r="H907" s="128"/>
      <c r="I907" s="12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</row>
    <row r="908" ht="10.5" customHeight="1">
      <c r="A908" s="127"/>
      <c r="B908" s="118"/>
      <c r="C908" s="128"/>
      <c r="D908" s="128"/>
      <c r="E908" s="128"/>
      <c r="F908" s="128"/>
      <c r="G908" s="128"/>
      <c r="H908" s="128"/>
      <c r="I908" s="12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</row>
    <row r="909" ht="10.5" customHeight="1">
      <c r="A909" s="127"/>
      <c r="B909" s="118"/>
      <c r="C909" s="128"/>
      <c r="D909" s="128"/>
      <c r="E909" s="128"/>
      <c r="F909" s="128"/>
      <c r="G909" s="128"/>
      <c r="H909" s="128"/>
      <c r="I909" s="12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</row>
    <row r="910" ht="10.5" customHeight="1">
      <c r="A910" s="127"/>
      <c r="B910" s="118"/>
      <c r="C910" s="128"/>
      <c r="D910" s="128"/>
      <c r="E910" s="128"/>
      <c r="F910" s="128"/>
      <c r="G910" s="128"/>
      <c r="H910" s="128"/>
      <c r="I910" s="12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</row>
    <row r="911" ht="10.5" customHeight="1">
      <c r="A911" s="127"/>
      <c r="B911" s="118"/>
      <c r="C911" s="128"/>
      <c r="D911" s="128"/>
      <c r="E911" s="128"/>
      <c r="F911" s="128"/>
      <c r="G911" s="128"/>
      <c r="H911" s="128"/>
      <c r="I911" s="12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</row>
    <row r="912" ht="10.5" customHeight="1">
      <c r="A912" s="127"/>
      <c r="B912" s="118"/>
      <c r="C912" s="128"/>
      <c r="D912" s="128"/>
      <c r="E912" s="128"/>
      <c r="F912" s="128"/>
      <c r="G912" s="128"/>
      <c r="H912" s="128"/>
      <c r="I912" s="12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</row>
    <row r="913" ht="10.5" customHeight="1">
      <c r="A913" s="127"/>
      <c r="B913" s="118"/>
      <c r="C913" s="128"/>
      <c r="D913" s="128"/>
      <c r="E913" s="128"/>
      <c r="F913" s="128"/>
      <c r="G913" s="128"/>
      <c r="H913" s="128"/>
      <c r="I913" s="12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</row>
    <row r="914" ht="10.5" customHeight="1">
      <c r="A914" s="127"/>
      <c r="B914" s="118"/>
      <c r="C914" s="128"/>
      <c r="D914" s="128"/>
      <c r="E914" s="128"/>
      <c r="F914" s="128"/>
      <c r="G914" s="128"/>
      <c r="H914" s="128"/>
      <c r="I914" s="12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</row>
    <row r="915" ht="10.5" customHeight="1">
      <c r="A915" s="127"/>
      <c r="B915" s="118"/>
      <c r="C915" s="128"/>
      <c r="D915" s="128"/>
      <c r="E915" s="128"/>
      <c r="F915" s="128"/>
      <c r="G915" s="128"/>
      <c r="H915" s="128"/>
      <c r="I915" s="12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</row>
    <row r="916" ht="10.5" customHeight="1">
      <c r="A916" s="127"/>
      <c r="B916" s="118"/>
      <c r="C916" s="128"/>
      <c r="D916" s="128"/>
      <c r="E916" s="128"/>
      <c r="F916" s="128"/>
      <c r="G916" s="128"/>
      <c r="H916" s="128"/>
      <c r="I916" s="12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</row>
    <row r="917" ht="10.5" customHeight="1">
      <c r="A917" s="127"/>
      <c r="B917" s="118"/>
      <c r="C917" s="128"/>
      <c r="D917" s="128"/>
      <c r="E917" s="128"/>
      <c r="F917" s="128"/>
      <c r="G917" s="128"/>
      <c r="H917" s="128"/>
      <c r="I917" s="12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</row>
    <row r="918" ht="10.5" customHeight="1">
      <c r="A918" s="127"/>
      <c r="B918" s="118"/>
      <c r="C918" s="128"/>
      <c r="D918" s="128"/>
      <c r="E918" s="128"/>
      <c r="F918" s="128"/>
      <c r="G918" s="128"/>
      <c r="H918" s="128"/>
      <c r="I918" s="12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</row>
    <row r="919" ht="10.5" customHeight="1">
      <c r="A919" s="127"/>
      <c r="B919" s="118"/>
      <c r="C919" s="128"/>
      <c r="D919" s="128"/>
      <c r="E919" s="128"/>
      <c r="F919" s="128"/>
      <c r="G919" s="128"/>
      <c r="H919" s="128"/>
      <c r="I919" s="12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</row>
    <row r="920" ht="10.5" customHeight="1">
      <c r="A920" s="127"/>
      <c r="B920" s="118"/>
      <c r="C920" s="128"/>
      <c r="D920" s="128"/>
      <c r="E920" s="128"/>
      <c r="F920" s="128"/>
      <c r="G920" s="128"/>
      <c r="H920" s="128"/>
      <c r="I920" s="12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</row>
    <row r="921" ht="10.5" customHeight="1">
      <c r="A921" s="127"/>
      <c r="B921" s="118"/>
      <c r="C921" s="128"/>
      <c r="D921" s="128"/>
      <c r="E921" s="128"/>
      <c r="F921" s="128"/>
      <c r="G921" s="128"/>
      <c r="H921" s="128"/>
      <c r="I921" s="12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</row>
    <row r="922" ht="10.5" customHeight="1">
      <c r="A922" s="127"/>
      <c r="B922" s="118"/>
      <c r="C922" s="128"/>
      <c r="D922" s="128"/>
      <c r="E922" s="128"/>
      <c r="F922" s="128"/>
      <c r="G922" s="128"/>
      <c r="H922" s="128"/>
      <c r="I922" s="12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</row>
    <row r="923" ht="10.5" customHeight="1">
      <c r="A923" s="127"/>
      <c r="B923" s="118"/>
      <c r="C923" s="128"/>
      <c r="D923" s="128"/>
      <c r="E923" s="128"/>
      <c r="F923" s="128"/>
      <c r="G923" s="128"/>
      <c r="H923" s="128"/>
      <c r="I923" s="12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</row>
    <row r="924" ht="10.5" customHeight="1">
      <c r="A924" s="127"/>
      <c r="B924" s="118"/>
      <c r="C924" s="128"/>
      <c r="D924" s="128"/>
      <c r="E924" s="128"/>
      <c r="F924" s="128"/>
      <c r="G924" s="128"/>
      <c r="H924" s="128"/>
      <c r="I924" s="12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</row>
    <row r="925" ht="10.5" customHeight="1">
      <c r="A925" s="127"/>
      <c r="B925" s="118"/>
      <c r="C925" s="128"/>
      <c r="D925" s="128"/>
      <c r="E925" s="128"/>
      <c r="F925" s="128"/>
      <c r="G925" s="128"/>
      <c r="H925" s="128"/>
      <c r="I925" s="12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</row>
    <row r="926" ht="10.5" customHeight="1">
      <c r="A926" s="127"/>
      <c r="B926" s="118"/>
      <c r="C926" s="128"/>
      <c r="D926" s="128"/>
      <c r="E926" s="128"/>
      <c r="F926" s="128"/>
      <c r="G926" s="128"/>
      <c r="H926" s="128"/>
      <c r="I926" s="12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</row>
    <row r="927" ht="10.5" customHeight="1">
      <c r="A927" s="127"/>
      <c r="B927" s="118"/>
      <c r="C927" s="128"/>
      <c r="D927" s="128"/>
      <c r="E927" s="128"/>
      <c r="F927" s="128"/>
      <c r="G927" s="128"/>
      <c r="H927" s="128"/>
      <c r="I927" s="12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</row>
    <row r="928" ht="10.5" customHeight="1">
      <c r="A928" s="127"/>
      <c r="B928" s="118"/>
      <c r="C928" s="128"/>
      <c r="D928" s="128"/>
      <c r="E928" s="128"/>
      <c r="F928" s="128"/>
      <c r="G928" s="128"/>
      <c r="H928" s="128"/>
      <c r="I928" s="12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</row>
    <row r="929" ht="10.5" customHeight="1">
      <c r="A929" s="127"/>
      <c r="B929" s="118"/>
      <c r="C929" s="128"/>
      <c r="D929" s="128"/>
      <c r="E929" s="128"/>
      <c r="F929" s="128"/>
      <c r="G929" s="128"/>
      <c r="H929" s="128"/>
      <c r="I929" s="12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</row>
    <row r="930" ht="10.5" customHeight="1">
      <c r="A930" s="127"/>
      <c r="B930" s="118"/>
      <c r="C930" s="128"/>
      <c r="D930" s="128"/>
      <c r="E930" s="128"/>
      <c r="F930" s="128"/>
      <c r="G930" s="128"/>
      <c r="H930" s="128"/>
      <c r="I930" s="12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</row>
    <row r="931" ht="10.5" customHeight="1">
      <c r="A931" s="127"/>
      <c r="B931" s="118"/>
      <c r="C931" s="128"/>
      <c r="D931" s="128"/>
      <c r="E931" s="128"/>
      <c r="F931" s="128"/>
      <c r="G931" s="128"/>
      <c r="H931" s="128"/>
      <c r="I931" s="12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</row>
    <row r="932" ht="10.5" customHeight="1">
      <c r="A932" s="127"/>
      <c r="B932" s="118"/>
      <c r="C932" s="128"/>
      <c r="D932" s="128"/>
      <c r="E932" s="128"/>
      <c r="F932" s="128"/>
      <c r="G932" s="128"/>
      <c r="H932" s="128"/>
      <c r="I932" s="12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</row>
    <row r="933" ht="10.5" customHeight="1">
      <c r="A933" s="127"/>
      <c r="B933" s="118"/>
      <c r="C933" s="128"/>
      <c r="D933" s="128"/>
      <c r="E933" s="128"/>
      <c r="F933" s="128"/>
      <c r="G933" s="128"/>
      <c r="H933" s="128"/>
      <c r="I933" s="12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</row>
    <row r="934" ht="10.5" customHeight="1">
      <c r="A934" s="127"/>
      <c r="B934" s="118"/>
      <c r="C934" s="128"/>
      <c r="D934" s="128"/>
      <c r="E934" s="128"/>
      <c r="F934" s="128"/>
      <c r="G934" s="128"/>
      <c r="H934" s="128"/>
      <c r="I934" s="12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</row>
    <row r="935" ht="10.5" customHeight="1">
      <c r="A935" s="127"/>
      <c r="B935" s="118"/>
      <c r="C935" s="128"/>
      <c r="D935" s="128"/>
      <c r="E935" s="128"/>
      <c r="F935" s="128"/>
      <c r="G935" s="128"/>
      <c r="H935" s="128"/>
      <c r="I935" s="12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</row>
    <row r="936" ht="10.5" customHeight="1">
      <c r="A936" s="127"/>
      <c r="B936" s="118"/>
      <c r="C936" s="128"/>
      <c r="D936" s="128"/>
      <c r="E936" s="128"/>
      <c r="F936" s="128"/>
      <c r="G936" s="128"/>
      <c r="H936" s="128"/>
      <c r="I936" s="12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</row>
    <row r="937" ht="10.5" customHeight="1">
      <c r="A937" s="127"/>
      <c r="B937" s="118"/>
      <c r="C937" s="128"/>
      <c r="D937" s="128"/>
      <c r="E937" s="128"/>
      <c r="F937" s="128"/>
      <c r="G937" s="128"/>
      <c r="H937" s="128"/>
      <c r="I937" s="12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</row>
    <row r="938" ht="10.5" customHeight="1">
      <c r="A938" s="127"/>
      <c r="B938" s="118"/>
      <c r="C938" s="128"/>
      <c r="D938" s="128"/>
      <c r="E938" s="128"/>
      <c r="F938" s="128"/>
      <c r="G938" s="128"/>
      <c r="H938" s="128"/>
      <c r="I938" s="12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</row>
    <row r="939" ht="10.5" customHeight="1">
      <c r="A939" s="127"/>
      <c r="B939" s="118"/>
      <c r="C939" s="128"/>
      <c r="D939" s="128"/>
      <c r="E939" s="128"/>
      <c r="F939" s="128"/>
      <c r="G939" s="128"/>
      <c r="H939" s="128"/>
      <c r="I939" s="12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</row>
    <row r="940" ht="10.5" customHeight="1">
      <c r="A940" s="127"/>
      <c r="B940" s="118"/>
      <c r="C940" s="128"/>
      <c r="D940" s="128"/>
      <c r="E940" s="128"/>
      <c r="F940" s="128"/>
      <c r="G940" s="128"/>
      <c r="H940" s="128"/>
      <c r="I940" s="12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</row>
    <row r="941" ht="10.5" customHeight="1">
      <c r="A941" s="127"/>
      <c r="B941" s="118"/>
      <c r="C941" s="128"/>
      <c r="D941" s="128"/>
      <c r="E941" s="128"/>
      <c r="F941" s="128"/>
      <c r="G941" s="128"/>
      <c r="H941" s="128"/>
      <c r="I941" s="12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</row>
    <row r="942" ht="10.5" customHeight="1">
      <c r="A942" s="127"/>
      <c r="B942" s="118"/>
      <c r="C942" s="128"/>
      <c r="D942" s="128"/>
      <c r="E942" s="128"/>
      <c r="F942" s="128"/>
      <c r="G942" s="128"/>
      <c r="H942" s="128"/>
      <c r="I942" s="12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</row>
    <row r="943" ht="10.5" customHeight="1">
      <c r="A943" s="127"/>
      <c r="B943" s="118"/>
      <c r="C943" s="128"/>
      <c r="D943" s="128"/>
      <c r="E943" s="128"/>
      <c r="F943" s="128"/>
      <c r="G943" s="128"/>
      <c r="H943" s="128"/>
      <c r="I943" s="12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</row>
    <row r="944" ht="10.5" customHeight="1">
      <c r="A944" s="127"/>
      <c r="B944" s="118"/>
      <c r="C944" s="128"/>
      <c r="D944" s="128"/>
      <c r="E944" s="128"/>
      <c r="F944" s="128"/>
      <c r="G944" s="128"/>
      <c r="H944" s="128"/>
      <c r="I944" s="12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</row>
    <row r="945" ht="10.5" customHeight="1">
      <c r="A945" s="127"/>
      <c r="B945" s="118"/>
      <c r="C945" s="128"/>
      <c r="D945" s="128"/>
      <c r="E945" s="128"/>
      <c r="F945" s="128"/>
      <c r="G945" s="128"/>
      <c r="H945" s="128"/>
      <c r="I945" s="12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</row>
    <row r="946" ht="10.5" customHeight="1">
      <c r="A946" s="127"/>
      <c r="B946" s="118"/>
      <c r="C946" s="128"/>
      <c r="D946" s="128"/>
      <c r="E946" s="128"/>
      <c r="F946" s="128"/>
      <c r="G946" s="128"/>
      <c r="H946" s="128"/>
      <c r="I946" s="12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</row>
    <row r="947" ht="10.5" customHeight="1">
      <c r="A947" s="127"/>
      <c r="B947" s="118"/>
      <c r="C947" s="128"/>
      <c r="D947" s="128"/>
      <c r="E947" s="128"/>
      <c r="F947" s="128"/>
      <c r="G947" s="128"/>
      <c r="H947" s="128"/>
      <c r="I947" s="12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</row>
    <row r="948" ht="10.5" customHeight="1">
      <c r="A948" s="127"/>
      <c r="B948" s="118"/>
      <c r="C948" s="128"/>
      <c r="D948" s="128"/>
      <c r="E948" s="128"/>
      <c r="F948" s="128"/>
      <c r="G948" s="128"/>
      <c r="H948" s="128"/>
      <c r="I948" s="12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</row>
    <row r="949" ht="10.5" customHeight="1">
      <c r="A949" s="127"/>
      <c r="B949" s="118"/>
      <c r="C949" s="128"/>
      <c r="D949" s="128"/>
      <c r="E949" s="128"/>
      <c r="F949" s="128"/>
      <c r="G949" s="128"/>
      <c r="H949" s="128"/>
      <c r="I949" s="12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</row>
    <row r="950" ht="10.5" customHeight="1">
      <c r="A950" s="127"/>
      <c r="B950" s="118"/>
      <c r="C950" s="128"/>
      <c r="D950" s="128"/>
      <c r="E950" s="128"/>
      <c r="F950" s="128"/>
      <c r="G950" s="128"/>
      <c r="H950" s="128"/>
      <c r="I950" s="12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</row>
    <row r="951" ht="10.5" customHeight="1">
      <c r="A951" s="127"/>
      <c r="B951" s="118"/>
      <c r="C951" s="128"/>
      <c r="D951" s="128"/>
      <c r="E951" s="128"/>
      <c r="F951" s="128"/>
      <c r="G951" s="128"/>
      <c r="H951" s="128"/>
      <c r="I951" s="12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</row>
    <row r="952" ht="10.5" customHeight="1">
      <c r="A952" s="127"/>
      <c r="B952" s="118"/>
      <c r="C952" s="128"/>
      <c r="D952" s="128"/>
      <c r="E952" s="128"/>
      <c r="F952" s="128"/>
      <c r="G952" s="128"/>
      <c r="H952" s="128"/>
      <c r="I952" s="12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</row>
    <row r="953" ht="10.5" customHeight="1">
      <c r="A953" s="127"/>
      <c r="B953" s="118"/>
      <c r="C953" s="128"/>
      <c r="D953" s="128"/>
      <c r="E953" s="128"/>
      <c r="F953" s="128"/>
      <c r="G953" s="128"/>
      <c r="H953" s="128"/>
      <c r="I953" s="12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</row>
    <row r="954" ht="10.5" customHeight="1">
      <c r="A954" s="127"/>
      <c r="B954" s="118"/>
      <c r="C954" s="128"/>
      <c r="D954" s="128"/>
      <c r="E954" s="128"/>
      <c r="F954" s="128"/>
      <c r="G954" s="128"/>
      <c r="H954" s="128"/>
      <c r="I954" s="12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</row>
    <row r="955" ht="10.5" customHeight="1">
      <c r="A955" s="127"/>
      <c r="B955" s="118"/>
      <c r="C955" s="128"/>
      <c r="D955" s="128"/>
      <c r="E955" s="128"/>
      <c r="F955" s="128"/>
      <c r="G955" s="128"/>
      <c r="H955" s="128"/>
      <c r="I955" s="12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</row>
    <row r="956" ht="10.5" customHeight="1">
      <c r="A956" s="127"/>
      <c r="B956" s="118"/>
      <c r="C956" s="128"/>
      <c r="D956" s="128"/>
      <c r="E956" s="128"/>
      <c r="F956" s="128"/>
      <c r="G956" s="128"/>
      <c r="H956" s="128"/>
      <c r="I956" s="12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</row>
    <row r="957" ht="10.5" customHeight="1">
      <c r="A957" s="127"/>
      <c r="B957" s="118"/>
      <c r="C957" s="128"/>
      <c r="D957" s="128"/>
      <c r="E957" s="128"/>
      <c r="F957" s="128"/>
      <c r="G957" s="128"/>
      <c r="H957" s="128"/>
      <c r="I957" s="12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</row>
    <row r="958" ht="10.5" customHeight="1">
      <c r="A958" s="127"/>
      <c r="B958" s="118"/>
      <c r="C958" s="128"/>
      <c r="D958" s="128"/>
      <c r="E958" s="128"/>
      <c r="F958" s="128"/>
      <c r="G958" s="128"/>
      <c r="H958" s="128"/>
      <c r="I958" s="12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</row>
    <row r="959" ht="10.5" customHeight="1">
      <c r="A959" s="127"/>
      <c r="B959" s="118"/>
      <c r="C959" s="128"/>
      <c r="D959" s="128"/>
      <c r="E959" s="128"/>
      <c r="F959" s="128"/>
      <c r="G959" s="128"/>
      <c r="H959" s="128"/>
      <c r="I959" s="12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</row>
    <row r="960" ht="10.5" customHeight="1">
      <c r="A960" s="127"/>
      <c r="B960" s="118"/>
      <c r="C960" s="128"/>
      <c r="D960" s="128"/>
      <c r="E960" s="128"/>
      <c r="F960" s="128"/>
      <c r="G960" s="128"/>
      <c r="H960" s="128"/>
      <c r="I960" s="12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</row>
    <row r="961" ht="10.5" customHeight="1">
      <c r="A961" s="127"/>
      <c r="B961" s="118"/>
      <c r="C961" s="128"/>
      <c r="D961" s="128"/>
      <c r="E961" s="128"/>
      <c r="F961" s="128"/>
      <c r="G961" s="128"/>
      <c r="H961" s="128"/>
      <c r="I961" s="12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</row>
    <row r="962" ht="10.5" customHeight="1">
      <c r="A962" s="127"/>
      <c r="B962" s="118"/>
      <c r="C962" s="128"/>
      <c r="D962" s="128"/>
      <c r="E962" s="128"/>
      <c r="F962" s="128"/>
      <c r="G962" s="128"/>
      <c r="H962" s="128"/>
      <c r="I962" s="12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</row>
    <row r="963" ht="10.5" customHeight="1">
      <c r="A963" s="127"/>
      <c r="B963" s="118"/>
      <c r="C963" s="128"/>
      <c r="D963" s="128"/>
      <c r="E963" s="128"/>
      <c r="F963" s="128"/>
      <c r="G963" s="128"/>
      <c r="H963" s="128"/>
      <c r="I963" s="12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</row>
    <row r="964" ht="10.5" customHeight="1">
      <c r="A964" s="127"/>
      <c r="B964" s="118"/>
      <c r="C964" s="128"/>
      <c r="D964" s="128"/>
      <c r="E964" s="128"/>
      <c r="F964" s="128"/>
      <c r="G964" s="128"/>
      <c r="H964" s="128"/>
      <c r="I964" s="12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</row>
    <row r="965" ht="10.5" customHeight="1">
      <c r="A965" s="127"/>
      <c r="B965" s="118"/>
      <c r="C965" s="128"/>
      <c r="D965" s="128"/>
      <c r="E965" s="128"/>
      <c r="F965" s="128"/>
      <c r="G965" s="128"/>
      <c r="H965" s="128"/>
      <c r="I965" s="12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</row>
    <row r="966" ht="10.5" customHeight="1">
      <c r="A966" s="127"/>
      <c r="B966" s="118"/>
      <c r="C966" s="128"/>
      <c r="D966" s="128"/>
      <c r="E966" s="128"/>
      <c r="F966" s="128"/>
      <c r="G966" s="128"/>
      <c r="H966" s="128"/>
      <c r="I966" s="12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</row>
    <row r="967" ht="10.5" customHeight="1">
      <c r="A967" s="127"/>
      <c r="B967" s="118"/>
      <c r="C967" s="128"/>
      <c r="D967" s="128"/>
      <c r="E967" s="128"/>
      <c r="F967" s="128"/>
      <c r="G967" s="128"/>
      <c r="H967" s="128"/>
      <c r="I967" s="12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</row>
    <row r="968" ht="10.5" customHeight="1">
      <c r="A968" s="127"/>
      <c r="B968" s="118"/>
      <c r="C968" s="128"/>
      <c r="D968" s="128"/>
      <c r="E968" s="128"/>
      <c r="F968" s="128"/>
      <c r="G968" s="128"/>
      <c r="H968" s="128"/>
      <c r="I968" s="12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</row>
    <row r="969" ht="10.5" customHeight="1">
      <c r="A969" s="127"/>
      <c r="B969" s="118"/>
      <c r="C969" s="128"/>
      <c r="D969" s="128"/>
      <c r="E969" s="128"/>
      <c r="F969" s="128"/>
      <c r="G969" s="128"/>
      <c r="H969" s="128"/>
      <c r="I969" s="12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</row>
    <row r="970" ht="10.5" customHeight="1">
      <c r="A970" s="127"/>
      <c r="B970" s="118"/>
      <c r="C970" s="128"/>
      <c r="D970" s="128"/>
      <c r="E970" s="128"/>
      <c r="F970" s="128"/>
      <c r="G970" s="128"/>
      <c r="H970" s="128"/>
      <c r="I970" s="12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</row>
    <row r="971" ht="10.5" customHeight="1">
      <c r="A971" s="127"/>
      <c r="B971" s="118"/>
      <c r="C971" s="128"/>
      <c r="D971" s="128"/>
      <c r="E971" s="128"/>
      <c r="F971" s="128"/>
      <c r="G971" s="128"/>
      <c r="H971" s="128"/>
      <c r="I971" s="12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</row>
    <row r="972" ht="10.5" customHeight="1">
      <c r="A972" s="127"/>
      <c r="B972" s="118"/>
      <c r="C972" s="128"/>
      <c r="D972" s="128"/>
      <c r="E972" s="128"/>
      <c r="F972" s="128"/>
      <c r="G972" s="128"/>
      <c r="H972" s="128"/>
      <c r="I972" s="12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</row>
    <row r="973" ht="10.5" customHeight="1">
      <c r="A973" s="127"/>
      <c r="B973" s="118"/>
      <c r="C973" s="128"/>
      <c r="D973" s="128"/>
      <c r="E973" s="128"/>
      <c r="F973" s="128"/>
      <c r="G973" s="128"/>
      <c r="H973" s="128"/>
      <c r="I973" s="12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</row>
    <row r="974" ht="10.5" customHeight="1">
      <c r="A974" s="127"/>
      <c r="B974" s="118"/>
      <c r="C974" s="128"/>
      <c r="D974" s="128"/>
      <c r="E974" s="128"/>
      <c r="F974" s="128"/>
      <c r="G974" s="128"/>
      <c r="H974" s="128"/>
      <c r="I974" s="12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</row>
    <row r="975" ht="10.5" customHeight="1">
      <c r="A975" s="127"/>
      <c r="B975" s="118"/>
      <c r="C975" s="128"/>
      <c r="D975" s="128"/>
      <c r="E975" s="128"/>
      <c r="F975" s="128"/>
      <c r="G975" s="128"/>
      <c r="H975" s="128"/>
      <c r="I975" s="12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</row>
    <row r="976" ht="10.5" customHeight="1">
      <c r="A976" s="127"/>
      <c r="B976" s="118"/>
      <c r="C976" s="128"/>
      <c r="D976" s="128"/>
      <c r="E976" s="128"/>
      <c r="F976" s="128"/>
      <c r="G976" s="128"/>
      <c r="H976" s="128"/>
      <c r="I976" s="12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</row>
    <row r="977" ht="10.5" customHeight="1">
      <c r="A977" s="127"/>
      <c r="B977" s="118"/>
      <c r="C977" s="128"/>
      <c r="D977" s="128"/>
      <c r="E977" s="128"/>
      <c r="F977" s="128"/>
      <c r="G977" s="128"/>
      <c r="H977" s="128"/>
      <c r="I977" s="12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</row>
    <row r="978" ht="10.5" customHeight="1">
      <c r="A978" s="127"/>
      <c r="B978" s="118"/>
      <c r="C978" s="128"/>
      <c r="D978" s="128"/>
      <c r="E978" s="128"/>
      <c r="F978" s="128"/>
      <c r="G978" s="128"/>
      <c r="H978" s="128"/>
      <c r="I978" s="12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</row>
    <row r="979" ht="10.5" customHeight="1">
      <c r="A979" s="127"/>
      <c r="B979" s="118"/>
      <c r="C979" s="128"/>
      <c r="D979" s="128"/>
      <c r="E979" s="128"/>
      <c r="F979" s="128"/>
      <c r="G979" s="128"/>
      <c r="H979" s="128"/>
      <c r="I979" s="12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</row>
    <row r="980" ht="10.5" customHeight="1">
      <c r="A980" s="127"/>
      <c r="B980" s="118"/>
      <c r="C980" s="128"/>
      <c r="D980" s="128"/>
      <c r="E980" s="128"/>
      <c r="F980" s="128"/>
      <c r="G980" s="128"/>
      <c r="H980" s="128"/>
      <c r="I980" s="12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</row>
    <row r="981" ht="10.5" customHeight="1">
      <c r="A981" s="127"/>
      <c r="B981" s="118"/>
      <c r="C981" s="128"/>
      <c r="D981" s="128"/>
      <c r="E981" s="128"/>
      <c r="F981" s="128"/>
      <c r="G981" s="128"/>
      <c r="H981" s="128"/>
      <c r="I981" s="12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</row>
    <row r="982" ht="10.5" customHeight="1">
      <c r="A982" s="127"/>
      <c r="B982" s="118"/>
      <c r="C982" s="128"/>
      <c r="D982" s="128"/>
      <c r="E982" s="128"/>
      <c r="F982" s="128"/>
      <c r="G982" s="128"/>
      <c r="H982" s="128"/>
      <c r="I982" s="12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</row>
    <row r="983" ht="10.5" customHeight="1">
      <c r="A983" s="127"/>
      <c r="B983" s="118"/>
      <c r="C983" s="128"/>
      <c r="D983" s="128"/>
      <c r="E983" s="128"/>
      <c r="F983" s="128"/>
      <c r="G983" s="128"/>
      <c r="H983" s="128"/>
      <c r="I983" s="12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</row>
    <row r="984" ht="10.5" customHeight="1">
      <c r="A984" s="127"/>
      <c r="B984" s="118"/>
      <c r="C984" s="128"/>
      <c r="D984" s="128"/>
      <c r="E984" s="128"/>
      <c r="F984" s="128"/>
      <c r="G984" s="128"/>
      <c r="H984" s="128"/>
      <c r="I984" s="12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</row>
    <row r="985" ht="10.5" customHeight="1">
      <c r="A985" s="127"/>
      <c r="B985" s="118"/>
      <c r="C985" s="128"/>
      <c r="D985" s="128"/>
      <c r="E985" s="128"/>
      <c r="F985" s="128"/>
      <c r="G985" s="128"/>
      <c r="H985" s="128"/>
      <c r="I985" s="12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</row>
    <row r="986" ht="10.5" customHeight="1">
      <c r="A986" s="127"/>
      <c r="B986" s="118"/>
      <c r="C986" s="128"/>
      <c r="D986" s="128"/>
      <c r="E986" s="128"/>
      <c r="F986" s="128"/>
      <c r="G986" s="128"/>
      <c r="H986" s="128"/>
      <c r="I986" s="12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</row>
    <row r="987" ht="10.5" customHeight="1">
      <c r="A987" s="127"/>
      <c r="B987" s="118"/>
      <c r="C987" s="128"/>
      <c r="D987" s="128"/>
      <c r="E987" s="128"/>
      <c r="F987" s="128"/>
      <c r="G987" s="128"/>
      <c r="H987" s="128"/>
      <c r="I987" s="12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</row>
    <row r="988" ht="10.5" customHeight="1">
      <c r="A988" s="127"/>
      <c r="B988" s="118"/>
      <c r="C988" s="128"/>
      <c r="D988" s="128"/>
      <c r="E988" s="128"/>
      <c r="F988" s="128"/>
      <c r="G988" s="128"/>
      <c r="H988" s="128"/>
      <c r="I988" s="12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</row>
    <row r="989" ht="10.5" customHeight="1">
      <c r="A989" s="127"/>
      <c r="B989" s="118"/>
      <c r="C989" s="128"/>
      <c r="D989" s="128"/>
      <c r="E989" s="128"/>
      <c r="F989" s="128"/>
      <c r="G989" s="128"/>
      <c r="H989" s="128"/>
      <c r="I989" s="12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</row>
    <row r="990" ht="10.5" customHeight="1">
      <c r="A990" s="127"/>
      <c r="B990" s="118"/>
      <c r="C990" s="128"/>
      <c r="D990" s="128"/>
      <c r="E990" s="128"/>
      <c r="F990" s="128"/>
      <c r="G990" s="128"/>
      <c r="H990" s="128"/>
      <c r="I990" s="12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</row>
    <row r="991" ht="10.5" customHeight="1">
      <c r="A991" s="127"/>
      <c r="B991" s="118"/>
      <c r="C991" s="128"/>
      <c r="D991" s="128"/>
      <c r="E991" s="128"/>
      <c r="F991" s="128"/>
      <c r="G991" s="128"/>
      <c r="H991" s="128"/>
      <c r="I991" s="12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</row>
    <row r="992" ht="10.5" customHeight="1">
      <c r="A992" s="127"/>
      <c r="B992" s="118"/>
      <c r="C992" s="128"/>
      <c r="D992" s="128"/>
      <c r="E992" s="128"/>
      <c r="F992" s="128"/>
      <c r="G992" s="128"/>
      <c r="H992" s="128"/>
      <c r="I992" s="12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</row>
    <row r="993" ht="10.5" customHeight="1">
      <c r="A993" s="127"/>
      <c r="B993" s="118"/>
      <c r="C993" s="128"/>
      <c r="D993" s="128"/>
      <c r="E993" s="128"/>
      <c r="F993" s="128"/>
      <c r="G993" s="128"/>
      <c r="H993" s="128"/>
      <c r="I993" s="12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</row>
    <row r="994" ht="10.5" customHeight="1">
      <c r="A994" s="127"/>
      <c r="B994" s="118"/>
      <c r="C994" s="128"/>
      <c r="D994" s="128"/>
      <c r="E994" s="128"/>
      <c r="F994" s="128"/>
      <c r="G994" s="128"/>
      <c r="H994" s="128"/>
      <c r="I994" s="12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</row>
    <row r="995" ht="10.5" customHeight="1">
      <c r="A995" s="127"/>
      <c r="B995" s="118"/>
      <c r="C995" s="128"/>
      <c r="D995" s="128"/>
      <c r="E995" s="128"/>
      <c r="F995" s="128"/>
      <c r="G995" s="128"/>
      <c r="H995" s="128"/>
      <c r="I995" s="12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</row>
    <row r="996" ht="10.5" customHeight="1">
      <c r="A996" s="127"/>
      <c r="B996" s="118"/>
      <c r="C996" s="128"/>
      <c r="D996" s="128"/>
      <c r="E996" s="128"/>
      <c r="F996" s="128"/>
      <c r="G996" s="128"/>
      <c r="H996" s="128"/>
      <c r="I996" s="12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</row>
    <row r="997" ht="10.5" customHeight="1">
      <c r="A997" s="127"/>
      <c r="B997" s="118"/>
      <c r="C997" s="128"/>
      <c r="D997" s="128"/>
      <c r="E997" s="128"/>
      <c r="F997" s="128"/>
      <c r="G997" s="128"/>
      <c r="H997" s="128"/>
      <c r="I997" s="12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</row>
    <row r="998" ht="10.5" customHeight="1">
      <c r="A998" s="127"/>
      <c r="B998" s="118"/>
      <c r="C998" s="128"/>
      <c r="D998" s="128"/>
      <c r="E998" s="128"/>
      <c r="F998" s="128"/>
      <c r="G998" s="128"/>
      <c r="H998" s="128"/>
      <c r="I998" s="12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</row>
    <row r="999" ht="10.5" customHeight="1">
      <c r="A999" s="127"/>
      <c r="B999" s="118"/>
      <c r="C999" s="128"/>
      <c r="D999" s="128"/>
      <c r="E999" s="128"/>
      <c r="F999" s="128"/>
      <c r="G999" s="128"/>
      <c r="H999" s="128"/>
      <c r="I999" s="12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</row>
    <row r="1000" ht="10.5" customHeight="1">
      <c r="A1000" s="127"/>
      <c r="B1000" s="118"/>
      <c r="C1000" s="128"/>
      <c r="D1000" s="128"/>
      <c r="E1000" s="128"/>
      <c r="F1000" s="128"/>
      <c r="G1000" s="128"/>
      <c r="H1000" s="128"/>
      <c r="I1000" s="12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</row>
  </sheetData>
  <mergeCells count="98">
    <mergeCell ref="H3:H5"/>
    <mergeCell ref="I3:I5"/>
    <mergeCell ref="J3:J5"/>
    <mergeCell ref="K3:K5"/>
    <mergeCell ref="C121:L122"/>
    <mergeCell ref="L3:L5"/>
    <mergeCell ref="M3:M5"/>
    <mergeCell ref="N3:N5"/>
    <mergeCell ref="O3:O5"/>
    <mergeCell ref="P3:P5"/>
    <mergeCell ref="Q3:Q5"/>
    <mergeCell ref="R3:R5"/>
    <mergeCell ref="S3:S5"/>
    <mergeCell ref="A21:A23"/>
    <mergeCell ref="A24:A26"/>
    <mergeCell ref="A27:A29"/>
    <mergeCell ref="A30:A32"/>
    <mergeCell ref="A33:A35"/>
    <mergeCell ref="F3:F5"/>
    <mergeCell ref="G3:G5"/>
    <mergeCell ref="A6:A8"/>
    <mergeCell ref="A9:A11"/>
    <mergeCell ref="A12:A14"/>
    <mergeCell ref="A15:A17"/>
    <mergeCell ref="A18:A20"/>
    <mergeCell ref="AH3:AH5"/>
    <mergeCell ref="AI3:AI5"/>
    <mergeCell ref="AJ3:AJ5"/>
    <mergeCell ref="AK3:AK5"/>
    <mergeCell ref="AL3:AL5"/>
    <mergeCell ref="AM3:AM5"/>
    <mergeCell ref="A1:B2"/>
    <mergeCell ref="C1:AO2"/>
    <mergeCell ref="A3:A5"/>
    <mergeCell ref="B3:B5"/>
    <mergeCell ref="C3:C5"/>
    <mergeCell ref="D3:D5"/>
    <mergeCell ref="E3:E5"/>
    <mergeCell ref="AN3:AN5"/>
    <mergeCell ref="AO3:AO5"/>
    <mergeCell ref="AQ3:AQ5"/>
    <mergeCell ref="AR3:AR5"/>
    <mergeCell ref="AS3:AS5"/>
    <mergeCell ref="AT3:AT5"/>
    <mergeCell ref="AU3:AU5"/>
    <mergeCell ref="BC3:BC5"/>
    <mergeCell ref="BD3:BD5"/>
    <mergeCell ref="AV3:AV5"/>
    <mergeCell ref="AW3:AW5"/>
    <mergeCell ref="AX3:AX5"/>
    <mergeCell ref="AY3:AY5"/>
    <mergeCell ref="AZ3:AZ5"/>
    <mergeCell ref="BA3:BA5"/>
    <mergeCell ref="BB3:BB5"/>
    <mergeCell ref="AM9:AM11"/>
    <mergeCell ref="AM12:AM14"/>
    <mergeCell ref="AN12:AN14"/>
    <mergeCell ref="AO12:AO14"/>
    <mergeCell ref="AM15:AM17"/>
    <mergeCell ref="AN15:AN17"/>
    <mergeCell ref="AO15:AO17"/>
    <mergeCell ref="AN24:AN26"/>
    <mergeCell ref="AO24:AO26"/>
    <mergeCell ref="AM18:AM20"/>
    <mergeCell ref="AN18:AN20"/>
    <mergeCell ref="AO18:AO20"/>
    <mergeCell ref="AM21:AM23"/>
    <mergeCell ref="AN21:AN23"/>
    <mergeCell ref="AO21:AO23"/>
    <mergeCell ref="AM24:AM26"/>
    <mergeCell ref="AN33:AN35"/>
    <mergeCell ref="AO33:AO35"/>
    <mergeCell ref="AM27:AM29"/>
    <mergeCell ref="AN27:AN29"/>
    <mergeCell ref="AO27:AO29"/>
    <mergeCell ref="AM30:AM32"/>
    <mergeCell ref="AN30:AN32"/>
    <mergeCell ref="AO30:AO32"/>
    <mergeCell ref="AM33:AM3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M6:AM8"/>
    <mergeCell ref="AN6:AN8"/>
    <mergeCell ref="AO6:AO8"/>
    <mergeCell ref="AN9:AN11"/>
    <mergeCell ref="AO9:AO1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57"/>
  </cols>
  <sheetData>
    <row r="1" ht="13.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